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NU\Desktop\Partner Marketplace\"/>
    </mc:Choice>
  </mc:AlternateContent>
  <xr:revisionPtr revIDLastSave="0" documentId="13_ncr:1_{7CCDE5E0-CA2B-4379-BC92-0EC78E6358B2}" xr6:coauthVersionLast="47" xr6:coauthVersionMax="47" xr10:uidLastSave="{00000000-0000-0000-0000-000000000000}"/>
  <bookViews>
    <workbookView xWindow="-108" yWindow="-108" windowWidth="23256" windowHeight="12456" xr2:uid="{4CD8400E-6BF2-413F-B07E-FA088EA0E3B2}"/>
  </bookViews>
  <sheets>
    <sheet name="Feasibility " sheetId="2" r:id="rId1"/>
    <sheet name="Hoja1" sheetId="6" state="hidden" r:id="rId2"/>
    <sheet name="Sheet1" sheetId="3" state="hidden" r:id="rId3"/>
    <sheet name="Feasibility Study" sheetId="1"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2" l="1"/>
  <c r="T30" i="2"/>
  <c r="N30" i="2"/>
  <c r="U30" i="2"/>
  <c r="O30" i="2"/>
  <c r="P30" i="2" s="1"/>
  <c r="Q30" i="2" s="1"/>
  <c r="R30" i="2" s="1"/>
  <c r="S30" i="2" s="1"/>
  <c r="H30" i="2"/>
  <c r="I30" i="2" s="1"/>
  <c r="J30" i="2" s="1"/>
  <c r="K30" i="2" s="1"/>
  <c r="L30" i="2" s="1"/>
  <c r="M30" i="2" s="1"/>
  <c r="B30" i="2"/>
  <c r="C30" i="2" s="1"/>
  <c r="D30" i="2" s="1"/>
  <c r="E30" i="2" s="1"/>
  <c r="F30" i="2" s="1"/>
  <c r="G30" i="2" s="1"/>
  <c r="Q16" i="2"/>
  <c r="L16" i="2"/>
  <c r="G16" i="2"/>
  <c r="C32" i="2"/>
  <c r="D32" i="2" s="1"/>
  <c r="E32" i="2" s="1"/>
  <c r="F32" i="2" s="1"/>
  <c r="G32" i="2" s="1"/>
  <c r="H32" i="2" s="1"/>
  <c r="I32" i="2" s="1"/>
  <c r="J32" i="2" s="1"/>
  <c r="K32" i="2" s="1"/>
  <c r="L32" i="2" s="1"/>
  <c r="M32" i="2" s="1"/>
  <c r="N32" i="2" s="1"/>
  <c r="O32" i="2" s="1"/>
  <c r="P32" i="2" s="1"/>
  <c r="Q32" i="2" s="1"/>
  <c r="R32" i="2" s="1"/>
  <c r="S32" i="2" s="1"/>
  <c r="T32" i="2" s="1"/>
  <c r="U32" i="2" s="1"/>
  <c r="B29" i="2"/>
  <c r="C14" i="2"/>
  <c r="D14" i="2" s="1"/>
  <c r="E14" i="2" s="1"/>
  <c r="F14" i="2" s="1"/>
  <c r="G14" i="2" s="1"/>
  <c r="H14" i="2" s="1"/>
  <c r="I14" i="2" s="1"/>
  <c r="J14" i="2" s="1"/>
  <c r="K14" i="2" s="1"/>
  <c r="L14" i="2" s="1"/>
  <c r="M14" i="2" s="1"/>
  <c r="N14" i="2" s="1"/>
  <c r="O14" i="2" s="1"/>
  <c r="P14" i="2" s="1"/>
  <c r="Q14" i="2" s="1"/>
  <c r="R14" i="2" s="1"/>
  <c r="S14" i="2" s="1"/>
  <c r="T14" i="2" s="1"/>
  <c r="U14" i="2" s="1"/>
  <c r="Q31" i="2"/>
  <c r="L31" i="2"/>
  <c r="G31" i="2"/>
  <c r="B31" i="2"/>
  <c r="C31" i="2" s="1"/>
  <c r="Q29" i="2"/>
  <c r="L29" i="2"/>
  <c r="G29" i="2"/>
  <c r="D11" i="2"/>
  <c r="C25" i="2"/>
  <c r="D25" i="2"/>
  <c r="E25" i="2"/>
  <c r="F25" i="2"/>
  <c r="G25" i="2"/>
  <c r="H25" i="2"/>
  <c r="I25" i="2"/>
  <c r="J25" i="2"/>
  <c r="K25" i="2"/>
  <c r="L25" i="2"/>
  <c r="M25" i="2"/>
  <c r="N25" i="2"/>
  <c r="O25" i="2"/>
  <c r="P25" i="2"/>
  <c r="Q25" i="2"/>
  <c r="R25" i="2"/>
  <c r="S25" i="2"/>
  <c r="T25" i="2"/>
  <c r="U25" i="2"/>
  <c r="B25" i="2"/>
  <c r="G7" i="6"/>
  <c r="C3" i="6"/>
  <c r="D3" i="6" s="1"/>
  <c r="E3" i="6" s="1"/>
  <c r="F3" i="6" s="1"/>
  <c r="G3" i="6" s="1"/>
  <c r="H3" i="6" s="1"/>
  <c r="I3" i="6" s="1"/>
  <c r="J3" i="6" s="1"/>
  <c r="K3" i="6" s="1"/>
  <c r="L3" i="6" s="1"/>
  <c r="M3" i="6" s="1"/>
  <c r="N3" i="6" s="1"/>
  <c r="O3" i="6" s="1"/>
  <c r="P3" i="6" s="1"/>
  <c r="Q3" i="6" s="1"/>
  <c r="R3" i="6" s="1"/>
  <c r="S3" i="6" s="1"/>
  <c r="T3" i="6" s="1"/>
  <c r="U3" i="6" s="1"/>
  <c r="C2" i="6"/>
  <c r="B5" i="6"/>
  <c r="B26" i="2"/>
  <c r="C26" i="2"/>
  <c r="D19" i="1"/>
  <c r="G34" i="2"/>
  <c r="G35" i="2" s="1"/>
  <c r="G36" i="2" s="1"/>
  <c r="G38" i="2" s="1"/>
  <c r="L34" i="2"/>
  <c r="Q34" i="2"/>
  <c r="Q35" i="2" s="1"/>
  <c r="Q36" i="2" s="1"/>
  <c r="Q38" i="2" s="1"/>
  <c r="B34" i="2"/>
  <c r="B35" i="2" s="1"/>
  <c r="D37" i="2"/>
  <c r="E11" i="2"/>
  <c r="E37" i="2" s="1"/>
  <c r="F11" i="2"/>
  <c r="F37" i="2" s="1"/>
  <c r="G11" i="2"/>
  <c r="G37" i="2" s="1"/>
  <c r="H11" i="2"/>
  <c r="H37" i="2" s="1"/>
  <c r="I11" i="2"/>
  <c r="I37" i="2" s="1"/>
  <c r="J11" i="2"/>
  <c r="J37" i="2" s="1"/>
  <c r="K11" i="2"/>
  <c r="K37" i="2" s="1"/>
  <c r="L11" i="2"/>
  <c r="L37" i="2" s="1"/>
  <c r="M11" i="2"/>
  <c r="M37" i="2" s="1"/>
  <c r="N11" i="2"/>
  <c r="N37" i="2" s="1"/>
  <c r="O11" i="2"/>
  <c r="O37" i="2" s="1"/>
  <c r="P11" i="2"/>
  <c r="P37" i="2" s="1"/>
  <c r="Q11" i="2"/>
  <c r="Q37" i="2" s="1"/>
  <c r="R11" i="2"/>
  <c r="R37" i="2" s="1"/>
  <c r="S11" i="2"/>
  <c r="S37" i="2" s="1"/>
  <c r="T11" i="2"/>
  <c r="T37" i="2" s="1"/>
  <c r="U11" i="2"/>
  <c r="U37" i="2" s="1"/>
  <c r="C40" i="3"/>
  <c r="C11" i="2"/>
  <c r="C33" i="1"/>
  <c r="C28" i="1"/>
  <c r="C35" i="1"/>
  <c r="C12" i="1"/>
  <c r="C29" i="2" l="1"/>
  <c r="D29" i="2" s="1"/>
  <c r="H31" i="2"/>
  <c r="M31" i="2"/>
  <c r="R31" i="2"/>
  <c r="H29" i="2"/>
  <c r="M29" i="2"/>
  <c r="R29" i="2"/>
  <c r="B36" i="2"/>
  <c r="B38" i="2" s="1"/>
  <c r="B39" i="2" s="1"/>
  <c r="B41" i="2" s="1"/>
  <c r="D2" i="6"/>
  <c r="C5" i="6"/>
  <c r="B8" i="6"/>
  <c r="C37" i="2"/>
  <c r="U26" i="2"/>
  <c r="T26" i="2"/>
  <c r="S26" i="2"/>
  <c r="R26" i="2"/>
  <c r="Q39" i="2"/>
  <c r="Q26" i="2"/>
  <c r="P26" i="2"/>
  <c r="O26" i="2"/>
  <c r="N26" i="2"/>
  <c r="M26" i="2"/>
  <c r="K26" i="2"/>
  <c r="J26" i="2"/>
  <c r="I26" i="2"/>
  <c r="H26" i="2"/>
  <c r="G39" i="2"/>
  <c r="G41" i="2" s="1"/>
  <c r="G26" i="2"/>
  <c r="F26" i="2"/>
  <c r="E26" i="2"/>
  <c r="D26" i="2"/>
  <c r="Q41" i="2" l="1"/>
  <c r="Q42" i="2" s="1"/>
  <c r="Q40" i="2"/>
  <c r="B42" i="2"/>
  <c r="S31" i="2"/>
  <c r="N31" i="2"/>
  <c r="O31" i="2"/>
  <c r="P31" i="2" s="1"/>
  <c r="I31" i="2"/>
  <c r="J31" i="2"/>
  <c r="K31" i="2" s="1"/>
  <c r="D31" i="2"/>
  <c r="E31" i="2"/>
  <c r="F31" i="2" s="1"/>
  <c r="R34" i="2"/>
  <c r="R35" i="2" s="1"/>
  <c r="R36" i="2" s="1"/>
  <c r="R38" i="2" s="1"/>
  <c r="R39" i="2" s="1"/>
  <c r="S29" i="2"/>
  <c r="N29" i="2"/>
  <c r="O29" i="2"/>
  <c r="P29" i="2" s="1"/>
  <c r="I29" i="2"/>
  <c r="I34" i="2" s="1"/>
  <c r="I35" i="2" s="1"/>
  <c r="I36" i="2" s="1"/>
  <c r="I38" i="2" s="1"/>
  <c r="I39" i="2" s="1"/>
  <c r="J29" i="2"/>
  <c r="C34" i="2"/>
  <c r="C35" i="2" s="1"/>
  <c r="C36" i="2" s="1"/>
  <c r="C38" i="2" s="1"/>
  <c r="C39" i="2" s="1"/>
  <c r="C41" i="2" s="1"/>
  <c r="E29" i="2"/>
  <c r="F29" i="2"/>
  <c r="E2" i="6"/>
  <c r="D5" i="6"/>
  <c r="C8" i="6"/>
  <c r="M34" i="2"/>
  <c r="M35" i="2" s="1"/>
  <c r="M36" i="2" s="1"/>
  <c r="M38" i="2" s="1"/>
  <c r="M39" i="2" s="1"/>
  <c r="C42" i="2"/>
  <c r="D34" i="2"/>
  <c r="D35" i="2" s="1"/>
  <c r="D36" i="2" s="1"/>
  <c r="D38" i="2" s="1"/>
  <c r="D39" i="2" s="1"/>
  <c r="D41" i="2" s="1"/>
  <c r="G42" i="2"/>
  <c r="D42" i="2"/>
  <c r="M41" i="2" l="1"/>
  <c r="M42" i="2" s="1"/>
  <c r="M40" i="2"/>
  <c r="I41" i="2"/>
  <c r="I42" i="2" s="1"/>
  <c r="I40" i="2"/>
  <c r="R41" i="2"/>
  <c r="R42" i="2" s="1"/>
  <c r="R40" i="2"/>
  <c r="T31" i="2"/>
  <c r="U31" i="2" s="1"/>
  <c r="K29" i="2"/>
  <c r="K34" i="2" s="1"/>
  <c r="K35" i="2" s="1"/>
  <c r="K36" i="2" s="1"/>
  <c r="K38" i="2" s="1"/>
  <c r="K39" i="2" s="1"/>
  <c r="J34" i="2"/>
  <c r="J35" i="2" s="1"/>
  <c r="J36" i="2" s="1"/>
  <c r="J38" i="2" s="1"/>
  <c r="J39" i="2" s="1"/>
  <c r="S34" i="2"/>
  <c r="S35" i="2" s="1"/>
  <c r="S36" i="2" s="1"/>
  <c r="S38" i="2" s="1"/>
  <c r="S39" i="2" s="1"/>
  <c r="T29" i="2"/>
  <c r="D8" i="6"/>
  <c r="E8" i="6"/>
  <c r="F2" i="6"/>
  <c r="E5" i="6"/>
  <c r="N34" i="2"/>
  <c r="N35" i="2" s="1"/>
  <c r="N36" i="2" s="1"/>
  <c r="N38" i="2" s="1"/>
  <c r="N39" i="2" s="1"/>
  <c r="F34" i="2"/>
  <c r="F35" i="2" s="1"/>
  <c r="F36" i="2" s="1"/>
  <c r="F38" i="2" s="1"/>
  <c r="F39" i="2" s="1"/>
  <c r="F41" i="2" s="1"/>
  <c r="E34" i="2"/>
  <c r="E35" i="2" s="1"/>
  <c r="E36" i="2" s="1"/>
  <c r="E38" i="2" s="1"/>
  <c r="E39" i="2" s="1"/>
  <c r="E41" i="2" s="1"/>
  <c r="E42" i="2" l="1"/>
  <c r="F42" i="2"/>
  <c r="N41" i="2"/>
  <c r="N42" i="2" s="1"/>
  <c r="N40" i="2"/>
  <c r="S41" i="2"/>
  <c r="S42" i="2" s="1"/>
  <c r="S40" i="2"/>
  <c r="J41" i="2"/>
  <c r="J42" i="2" s="1"/>
  <c r="J40" i="2"/>
  <c r="K41" i="2"/>
  <c r="K42" i="2" s="1"/>
  <c r="K40" i="2"/>
  <c r="T34" i="2"/>
  <c r="T35" i="2" s="1"/>
  <c r="T36" i="2" s="1"/>
  <c r="T38" i="2" s="1"/>
  <c r="T39" i="2" s="1"/>
  <c r="U29" i="2"/>
  <c r="U34" i="2" s="1"/>
  <c r="U35" i="2" s="1"/>
  <c r="U36" i="2" s="1"/>
  <c r="U38" i="2" s="1"/>
  <c r="U39" i="2" s="1"/>
  <c r="U41" i="2" s="1"/>
  <c r="G2" i="6"/>
  <c r="F5" i="6"/>
  <c r="F8" i="6"/>
  <c r="O34" i="2"/>
  <c r="O35" i="2" s="1"/>
  <c r="O36" i="2" s="1"/>
  <c r="O38" i="2" s="1"/>
  <c r="O39" i="2" s="1"/>
  <c r="P34" i="2"/>
  <c r="P35" i="2" s="1"/>
  <c r="P36" i="2" s="1"/>
  <c r="P38" i="2" s="1"/>
  <c r="P39" i="2" s="1"/>
  <c r="P41" i="2" l="1"/>
  <c r="P42" i="2" s="1"/>
  <c r="P40" i="2"/>
  <c r="O41" i="2"/>
  <c r="O42" i="2" s="1"/>
  <c r="O40" i="2"/>
  <c r="U42" i="2"/>
  <c r="U40" i="2"/>
  <c r="T41" i="2"/>
  <c r="T42" i="2" s="1"/>
  <c r="T40" i="2"/>
  <c r="F10" i="6"/>
  <c r="F11" i="6" s="1"/>
  <c r="H2" i="6"/>
  <c r="G5" i="6"/>
  <c r="G8" i="6" l="1"/>
  <c r="I2" i="6"/>
  <c r="H5" i="6"/>
  <c r="H8" i="6" l="1"/>
  <c r="J2" i="6"/>
  <c r="I5" i="6"/>
  <c r="I8" i="6" l="1"/>
  <c r="J8" i="6" s="1"/>
  <c r="K8" i="6" s="1"/>
  <c r="K9" i="6"/>
  <c r="K10" i="6" s="1"/>
  <c r="K7" i="6" s="1"/>
  <c r="K2" i="6"/>
  <c r="J5" i="6"/>
  <c r="L8" i="6" l="1"/>
  <c r="L2" i="6"/>
  <c r="K5" i="6"/>
  <c r="M8" i="6" l="1"/>
  <c r="M2" i="6"/>
  <c r="L5" i="6"/>
  <c r="N8" i="6" l="1"/>
  <c r="O8" i="6"/>
  <c r="P8" i="6" s="1"/>
  <c r="P9" i="6"/>
  <c r="P10" i="6" s="1"/>
  <c r="Q7" i="6" s="1"/>
  <c r="Q8" i="6" s="1"/>
  <c r="N2" i="6"/>
  <c r="M5" i="6"/>
  <c r="R8" i="6" l="1"/>
  <c r="S8" i="6"/>
  <c r="T8" i="6"/>
  <c r="U8" i="6" s="1"/>
  <c r="O2" i="6"/>
  <c r="N5" i="6"/>
  <c r="P2" i="6" l="1"/>
  <c r="O5" i="6"/>
  <c r="Q2" i="6" l="1"/>
  <c r="P5" i="6"/>
  <c r="R2" i="6" l="1"/>
  <c r="Q5" i="6"/>
  <c r="S2" i="6" l="1"/>
  <c r="R5" i="6"/>
  <c r="T2" i="6" l="1"/>
  <c r="S5" i="6"/>
  <c r="U2" i="6" l="1"/>
  <c r="U5" i="6" s="1"/>
  <c r="T5" i="6"/>
  <c r="H34" i="2"/>
  <c r="H35" i="2" s="1"/>
  <c r="H36" i="2" s="1"/>
  <c r="H38" i="2" s="1"/>
  <c r="H39" i="2" s="1"/>
  <c r="H41" i="2" s="1"/>
  <c r="L35" i="2"/>
  <c r="L36" i="2"/>
  <c r="L38" i="2"/>
  <c r="L39" i="2"/>
  <c r="L40" i="2" s="1"/>
  <c r="L41" i="2"/>
  <c r="L42" i="2"/>
  <c r="L26" i="2"/>
  <c r="H4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Reehen Prashantbhai Mehta</author>
  </authors>
  <commentList>
    <comment ref="A3" authorId="0" shapeId="0" xr:uid="{72224EEA-D424-46D5-9097-1C92E554557D}">
      <text>
        <r>
          <rPr>
            <sz val="11"/>
            <color theme="1"/>
            <rFont val="Aptos Narrow"/>
            <family val="2"/>
            <scheme val="minor"/>
          </rPr>
          <t>Reehen Prashantbhai Mehta:
Bandwidth Costs
Initial Value (Year 1): $5,000,000.00
Annual Growth Rate: 4%
Justification:
Increased Merchant &amp; Partner Activity: As more merchants and partners join the Shopify Partner Marketplace, data transfer and bandwidth usage will rise.
Streaming &amp; API Usage Growth: API calls, real-time data processing, and analytics will require increased server bandwidth.
Content Expansion &amp; Media Usage: Higher-resolution product images, videos, and AI-driven recommendations will lead to higher data transmission needs.
Cloud Scaling Costs: Shopify uses cloud-based infrastructure (likely AWS or Google Cloud), where bandwidth costs increase as user activity scales.</t>
        </r>
      </text>
    </comment>
  </commentList>
</comments>
</file>

<file path=xl/sharedStrings.xml><?xml version="1.0" encoding="utf-8"?>
<sst xmlns="http://schemas.openxmlformats.org/spreadsheetml/2006/main" count="208" uniqueCount="104">
  <si>
    <t>FEASIBILITY STUDY - PARTNER MARKETPLACE</t>
  </si>
  <si>
    <t>Category</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</si>
  <si>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</si>
  <si>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</si>
  <si>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</si>
  <si>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</si>
  <si>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</si>
  <si>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</si>
  <si>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</si>
  <si>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</si>
  <si>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</si>
  <si>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</si>
  <si>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</si>
  <si>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</si>
  <si>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</si>
  <si>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</si>
  <si>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</si>
  <si>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</si>
  <si>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</si>
  <si>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</si>
  <si>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</si>
  <si>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</si>
  <si>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Revenue</t>
  </si>
  <si>
    <t>Transaction Fees</t>
  </si>
  <si>
    <t>Subscription Fees</t>
  </si>
  <si>
    <t>Advertising Revenue</t>
  </si>
  <si>
    <t>Commission on Sales</t>
  </si>
  <si>
    <t>Education and support</t>
  </si>
  <si>
    <t>API &amp; Integration Fees</t>
  </si>
  <si>
    <t>Insights and analytics services </t>
  </si>
  <si>
    <t>Total Revenue</t>
  </si>
  <si>
    <t>Expenses</t>
  </si>
  <si>
    <t>Security  systems</t>
  </si>
  <si>
    <t>Compliance and regulatory</t>
  </si>
  <si>
    <t>Professional Fee</t>
  </si>
  <si>
    <t>Sales and marketing</t>
  </si>
  <si>
    <t>Research and development</t>
  </si>
  <si>
    <t>General administrative expense</t>
  </si>
  <si>
    <t>Bandwidth Expense</t>
  </si>
  <si>
    <t>Maintenance and support</t>
  </si>
  <si>
    <t>Payroll</t>
  </si>
  <si>
    <t>Insurance (Facility &amp; Equipment)</t>
  </si>
  <si>
    <t>Office Rent</t>
  </si>
  <si>
    <t>Interest on loans</t>
  </si>
  <si>
    <t>Capital Cost Allowance(CCA)</t>
  </si>
  <si>
    <t>building CCA (4%)</t>
  </si>
  <si>
    <t>Data Center Equipment CCA (55%)</t>
  </si>
  <si>
    <t xml:space="preserve">Software &amp; Licenses CCA (30%) </t>
  </si>
  <si>
    <t xml:space="preserve">Network Infrastructure CCA (55%) </t>
  </si>
  <si>
    <t xml:space="preserve">Power Infrastructure CCA (20%) </t>
  </si>
  <si>
    <t>Contingency</t>
  </si>
  <si>
    <t>Contingency (10% of Capex)</t>
  </si>
  <si>
    <t>Total Expenses</t>
  </si>
  <si>
    <t>Gross Profit = Expenses - Revenue</t>
  </si>
  <si>
    <t>Income Tax (23%)</t>
  </si>
  <si>
    <t>Net Profit (NP) = Gross Total Profit -Tax</t>
  </si>
  <si>
    <t>ROI = Net Profit/Investment</t>
  </si>
  <si>
    <t xml:space="preserve"> 
v
v
</t>
  </si>
  <si>
    <t>Amount</t>
  </si>
  <si>
    <t>Bandwidth costs</t>
  </si>
  <si>
    <t>Data Center Equipment</t>
  </si>
  <si>
    <t xml:space="preserve">Breakdown </t>
  </si>
  <si>
    <t xml:space="preserve">Responsibility </t>
  </si>
  <si>
    <t>Relavance</t>
  </si>
  <si>
    <t>Risks (If any)</t>
  </si>
  <si>
    <t>Impact ( if any)</t>
  </si>
  <si>
    <t>Scope</t>
  </si>
  <si>
    <t>$ 5,000,000 </t>
  </si>
  <si>
    <r>
      <rPr>
        <sz val="11"/>
        <color rgb="FF000000"/>
        <rFont val="Aptos Narrow"/>
        <family val="2"/>
        <scheme val="minor"/>
      </rPr>
      <t xml:space="preserve">Initial setup for security funds, vulnerability patching, compliance audits, and threat detection. This cost is important in securing the platform from the very beginning and laying a secure groundwork.                                     </t>
    </r>
    <r>
      <rPr>
        <b/>
        <sz val="11"/>
        <color rgb="FF000000"/>
        <rFont val="Aptos Narrow"/>
        <family val="2"/>
        <scheme val="minor"/>
      </rPr>
      <t>Cybersecurity</t>
    </r>
    <r>
      <rPr>
        <sz val="11"/>
        <color rgb="FF000000"/>
        <rFont val="Aptos Narrow"/>
        <family val="2"/>
        <scheme val="minor"/>
      </rPr>
      <t xml:space="preserve">- $2,000,0000  
(For AI Powered threat detection and prevention  
</t>
    </r>
    <r>
      <rPr>
        <b/>
        <sz val="11"/>
        <color rgb="FF000000"/>
        <rFont val="Aptos Narrow"/>
        <family val="2"/>
        <scheme val="minor"/>
      </rPr>
      <t>Fraud Prevention and Risk mitigation</t>
    </r>
    <r>
      <rPr>
        <sz val="11"/>
        <color rgb="FF000000"/>
        <rFont val="Aptos Narrow"/>
        <family val="2"/>
        <scheme val="minor"/>
      </rPr>
      <t xml:space="preserve"> – $1,500,000  
(Real time fraud monitoring for transactions and enhanced multi-factor authentication (MFA) 
</t>
    </r>
    <r>
      <rPr>
        <b/>
        <sz val="11"/>
        <color rgb="FF000000"/>
        <rFont val="Aptos Narrow"/>
        <family val="2"/>
        <scheme val="minor"/>
      </rPr>
      <t>API Security and Marketplace protection</t>
    </r>
    <r>
      <rPr>
        <sz val="11"/>
        <color rgb="FF000000"/>
        <rFont val="Aptos Narrow"/>
        <family val="2"/>
        <scheme val="minor"/>
      </rPr>
      <t xml:space="preserve"> – $1,000,000  
(API rate-limiting &amp; access monitoring and Secure partner authentication protocols) 
</t>
    </r>
    <r>
      <rPr>
        <b/>
        <sz val="11"/>
        <color rgb="FF000000"/>
        <rFont val="Aptos Narrow"/>
        <family val="2"/>
        <scheme val="minor"/>
      </rPr>
      <t>Incident Response and Recovery</t>
    </r>
    <r>
      <rPr>
        <sz val="11"/>
        <color rgb="FF000000"/>
        <rFont val="Aptos Narrow"/>
        <family val="2"/>
        <scheme val="minor"/>
      </rPr>
      <t xml:space="preserve"> – $500,000 
(24/7 security operations center (SOC) and Automated backup &amp; disaster recovery) 
      </t>
    </r>
  </si>
  <si>
    <r>
      <rPr>
        <sz val="11"/>
        <color rgb="FF000000"/>
        <rFont val="Aptos Narrow"/>
        <family val="2"/>
        <scheme val="minor"/>
      </rPr>
      <t xml:space="preserve">First Year Total: $1,000,000
</t>
    </r>
    <r>
      <rPr>
        <b/>
        <sz val="11"/>
        <color rgb="FF000000"/>
        <rFont val="Aptos Narrow"/>
        <family val="2"/>
        <scheme val="minor"/>
      </rPr>
      <t>Summary</t>
    </r>
    <r>
      <rPr>
        <sz val="11"/>
        <color rgb="FF000000"/>
        <rFont val="Aptos Narrow"/>
        <family val="2"/>
        <scheme val="minor"/>
      </rPr>
      <t xml:space="preserve">: 
The Shopify Compliance Partner Marketplace has been set to an initial cost of $1,000,000. This total amount encompasses all primary legal, compliance, and industry norms, ranging from regulatory control to marketplace cover. First-stage costs could involve:
Regulatory Surveys and reviews- $200,000
Documents systems and certifying systems -$100,000
Legal Consultation to comply with specific region regulations such as data privacy laws(Cal. CCPA, Canada PIPEDA)- $500,000
System Security and Protection Measures Audit- $200,000
</t>
    </r>
    <r>
      <rPr>
        <b/>
        <sz val="11"/>
        <color rgb="FF000000"/>
        <rFont val="Aptos Narrow"/>
        <family val="2"/>
        <scheme val="minor"/>
      </rPr>
      <t>Objectives</t>
    </r>
    <r>
      <rPr>
        <sz val="11"/>
        <color rgb="FF000000"/>
        <rFont val="Aptos Narrow"/>
        <family val="2"/>
        <scheme val="minor"/>
      </rPr>
      <t xml:space="preserve">:
The compliance expenditures outlined above serve as the basis for the launch of the Shopify Partner Marketplace in accordance with USA and Canadian Laws. This move focuses on building the framework data trust with the partners' merchants and customers on the platform.
</t>
    </r>
    <r>
      <rPr>
        <b/>
        <sz val="11"/>
        <color rgb="FF000000"/>
        <rFont val="Aptos Narrow"/>
        <family val="2"/>
        <scheme val="minor"/>
      </rPr>
      <t>Annual Increment of 4%
Trend</t>
    </r>
    <r>
      <rPr>
        <sz val="11"/>
        <color rgb="FF000000"/>
        <rFont val="Aptos Narrow"/>
        <family val="2"/>
        <scheme val="minor"/>
      </rPr>
      <t xml:space="preserve">:
As expected, these compliance costs increase with slight rounding differences every year by 4% annually. 
</t>
    </r>
    <r>
      <rPr>
        <b/>
        <sz val="11"/>
        <color rgb="FF000000"/>
        <rFont val="Aptos Narrow"/>
        <family val="2"/>
        <scheme val="minor"/>
      </rPr>
      <t>Summary</t>
    </r>
    <r>
      <rPr>
        <sz val="11"/>
        <color rgb="FF000000"/>
        <rFont val="Aptos Narrow"/>
        <family val="2"/>
        <scheme val="minor"/>
      </rPr>
      <t xml:space="preserve">:
The primary reason for these increases comes from: 
Change in the Cost of Living: To keep up with the market, compliance services and the resources needed are also increasing in price. 
Changes in laws and regulatory procedures: New laws or revised versions of old laws lead to more complicated compliance requirements. 
Increased operational costs: As the Shopify compliance partner marketplace grows and seeks new regulatory opportunities, the compliance resources will need to be adjusted accordingly.
This incremental increase ensures that the Shopify Partner Marketplace remains compliant over the long term. When a platform begins to grow in maturity or sophistication, it incurs many compliance-related expenses. These expenses grow as the platform matures and as regulatory landscapes change.
Copy
</t>
    </r>
  </si>
  <si>
    <t>Initial software licenses</t>
  </si>
  <si>
    <t>Project management and consultancy</t>
  </si>
  <si>
    <t>1. Audits and Compliance - $400,000 
•	Covers financial audits: $300,000  
Comprehensive external audits to ensure financial accuracy and operational transparency. 
•	Regulatory requirements: $100,000  
Monitoring adherence to legal and industry standards, including tax compliance. 
2. Legal and Consulting Fees - $500,000  
•	Legal advisory services: $200,000 
Ongoing legal support for business operations and risk mitigation. 
•	Contract review: $175,000
Detailed analysis of vendor and partnership agreements to avoid potential liabilities. 
•	External business consulting: $125,000
Strategic guidance to optimize project execution and scalability. 
3. Training and Development - $250,000 
•	Non-technical training programs: $150,000 
Workshops and courses to enhance administrative and project management skills. 
•	Leadership and skill development: $100,000 
Executive coaching and skill-building initiatives for continuous improvement. 
4. Miscellaneous Administrative Costs - $150,000  
•	Unforeseen administrative expenses: $105,000 
Buffer for unexpected costs, ensuring business continuity without budget overruns. 
•	Minor business-related costs: $45,000 
Day-to-day operational expenses, including office supplies and small-scale purchases.
For the projection, a 2.5% inflation rate was considered, based on the following estimates and projections from reliable sources:
Statista estimates Canada's inflation rate at 2.44% for 2024, with a projected stabilization around 2% in the following years. (Statista)
The World Bank reported an inflation rate of 3.9% in Canada for 2023. (World Bank)
Considering these sources, selecting a 2.5% inflation rate is justified as a reasonable average for long-term financial projections.</t>
  </si>
  <si>
    <t xml:space="preserve">Effectively managing administrative expenses is crucial for ensuring the long-term sustainability and profitability of the Shopify Partner Marketplace. This section outlines the key categories of general administrative costs associated with the implementation and ongoing operations of the marketplace.
•	Audits and Compliance – $300,000 allocated for annual audits and regulatory compliance, with a 2% yearly increase to ensure adherence to evolving industry standards.
•	Legal and Consulting Fees – $500,000 allocated for legal advisory, contract reviews, and compliance consulting, now increasing 2% annually to account for inflation and evolving regulatory requirements.
•	Training and Development – $250,000 allocated for employee training, leadership development, and partner onboarding programs, with a 2% yearly increase to maintain program effectiveness and scalability.
•	Miscellaneous Administrative Costs – $150,000 reserved for general office expenses, unforeseen administrative needs, and minor business-related costs, with an annual increase of 2% to adjust for inflationary trends.
•	Customer Support &amp; Operations – $250,000 allocated for dedicated customer support and operational services, increasing 3% annually to scale with marketplace growth and maintain service quality.
Reflecting a consistent 2.68% annual increase driven by category-specific growth rates.
</t>
  </si>
  <si>
    <t>Staffing Expense</t>
  </si>
  <si>
    <t>Leased Office Space</t>
  </si>
  <si>
    <t>Initial Investment (Year 1)
Base Rent (Annual Lease): $1,200,000
Security Deposit: $200,000
Operating Expenses (utilities, maintenance, insurance, property tax, internet, cleaning, etc.): $300,000
One-Time Setup Costs (IT infrastructure, furniture, branding, legal, moving expenses, etc.): $200,000
Contingency Reserve (5% of total costs): $100,000
Total Year 1 Costs: $2,000,000
Annual Operating Costs (Years 2-20)
Base Rent: $1,200,000
Operating Expenses: $300,000
Contingency Reserve (5% inflation-adjusted increase annually): $100,000 (Year 2), increasing each year
3. 20-Year Cost Projection
Assuming a 3% annual rent increase and 2% increase in operating expenses,</t>
  </si>
  <si>
    <t xml:space="preserve">•	Data Center Equipment CCA (55%)                                                                              $20,000,000
The first-year capital expenditure (CAPEX) for data center equipment is set at $20 million CAD. This spending is crucial to:
•	Constructing the infrastructure consisting of servers, storage, networking, and software.
•	Improving security through fraud detection and compliance tools.
•	Competing in the marketplace via revenue sharing with partners by processing vast number of transactions. 
Depreciation Method Used:
Shopify uses the Capital Cost Allowance (CCA) system of depreciation.
In the first year, only 50% of the asset value can be written off, which is known as the Half-Year Rule.
Year 1 Calculation:
Formula: CCA=Initial Investment×0.5×Depreciation Rate
=20,000,000×0.5×55%=5.500 million CAD
At the end of Year 1, the remaining Undepreciated Capital Cost (UCC) is:
Remaining Balance=Initial CAPEX−Year 1 CCA
=20,000,000−5.500 million
=20,000,000−5.500 million=14.500 million CAD
Ongoing Upgrade Cycle (Every 5 Years)
Every five years, Shopify invests an extra $20 million to improve the marketplace infrastructure to make sure it's high-performing and secure.
Upgrading Depreciation Calculation:
Every new upgrade investment is amortized as per the Half Year Rule.
The new UCC balance equals the leftover balance from preceding years plus the new investments.
Year 6 Calculation (After First Upgrade Cycle):
</t>
  </si>
  <si>
    <t>Software &amp; Licenses CCA (30%)</t>
  </si>
  <si>
    <t>The Capital Cost Allowance for Software and Licenses (CCA) is the portion of depreciation that Shopify files under the expenses for software and licensing of the Shopify Partner Marketplace. The CCA enables Shopify to expense this overtime at a 30% rate, which aligns with the rest of the industry for software assets. This allows the economic reality of the decline in value of these assets over their useful life to be recorded in the financial statements. It also decreases taxable revenue, thus enhancing cash inflow and aiding the project’s economic viability.                                                                                                          1. Initial CCA Deduction (Year 1)
Year 1 CCA Deduction: $2,850,000
The CCA deduction is calculated as 30% of the initial software and license costs in the first year. This accelerated depreciation rate reflects the rapid decline in the value of software assets compared to physical assets. The deduction reduces taxable income, providing immediate tax relief and improving cash flow during the critical early stages of the project.
Rationale:
30% Depreciation Rate: This rate is standard for software assets, allowing for a higher initial deduction to account for their faster depreciation.
Tax Efficiency: The deduction lowers taxable income, freeing up funds for reinvestment in the project or other operational needs.</t>
  </si>
  <si>
    <t>Network Infrastructure CCA (55%)</t>
  </si>
  <si>
    <t>Network Infrastructure CCA (55%) - $18,200,000
Components necessary for Shopify’s partner marketplace involve network infrastructure, which in this case includes:
• Routers and Switches: Allowing dependable data transmission between different systems.
• Firewalls and Security Appliances: Enabling complex security structures for infiltrated systems.
• Load Balancers and Cabling: Maintaining high traffic volumes as well as physical links between servers and network equipment.
o First-Time Investment and Improvement Cycle
Initial CAPEX: In Year 1, the startup expenses are set at $18.2 million CAD which encapsulates the costs of network switches, routers, firewalls, load balancers, VPN and gateway devices, cabling, installation, and contingency plans as well.
o Upgrade Cycle: Every five years, Shopify will make a new investment of $18.2 million which will ensure that there is high performance and reliability of services.
o CCA DETERMINATION USING THE HALF-YEAR RULE
o Year 1 Calculation:
CCA: $18.2 million × 0.5 × 55% = $5.005 million.
End of Year 1 Undepreciated Balance: $18.2 million - $5.005 million = $13.195 million.
o Year 2:
CCA: $13.195 million × 55% = $7,257,250 million.
End of Year 2 Undepreciated Balance: $13.195 million - $7,257,250 million = $5,937,750 million.
o Year 3:
CCA: $5,937,750 million × 55% = $3,265,762.5
End of Year 3 Undepreciated Balance: $8.2215 million - $4.522 million = $3.6995 million.
o Year 4:
CCA: $3.6995 million × 55% = $2.0347 million.
End of Year 4 Undepreciated Balance: $3.6995 million - $2.0347 million = $1.6648 million.
o Year 5:
CCA: $1.6648 million × 55% = $0.9156 million.
End of Year 5 Undepreciated Balance: $1.6648 million - $0.9156 million = $0.7492 million
o Power Infrastructure CCA (20%) - $4,500,000
o CCA calculations with half-year rule:
Year 1 Calculation:
CCA: $4.5 million × 0.5 × 20% = $450,000.
End of year 1 un-depreciated balance: $18.2 million - $5.005 million = $13.195 million</t>
  </si>
  <si>
    <t>Power Infrastructure CCA (20%)</t>
  </si>
  <si>
    <t>Gross Total Profit=(Revenue-Expenses)</t>
  </si>
  <si>
    <t>Assigned</t>
  </si>
  <si>
    <t>Praveen</t>
  </si>
  <si>
    <t>Pamela</t>
  </si>
  <si>
    <t>Revenue Share from Partner Services</t>
  </si>
  <si>
    <t>Listing Fee</t>
  </si>
  <si>
    <t>Anu</t>
  </si>
  <si>
    <t>Adeayo</t>
  </si>
  <si>
    <t>Guffran</t>
  </si>
  <si>
    <t>Reheen</t>
  </si>
  <si>
    <t>Reehen</t>
  </si>
  <si>
    <t>Building maintenance</t>
  </si>
  <si>
    <t xml:space="preserve">Data Center Equipment CCA </t>
  </si>
  <si>
    <t>Software &amp; Licenses CCA</t>
  </si>
  <si>
    <t>Network Infrastructure CCA</t>
  </si>
  <si>
    <t>Power Infrastructure CCA</t>
  </si>
  <si>
    <t xml:space="preserve">Contingency </t>
  </si>
  <si>
    <t>Reference</t>
  </si>
  <si>
    <t>https://www.investors.com/news/technology/shopify-stock-shop-shopify-earnings-q42024/?utm_source=chatgpt.com</t>
  </si>
  <si>
    <t>https://help.shopify.com/en/partners/how-to-earn?utm_source=chatgpt.com</t>
  </si>
  <si>
    <t>https://shopifyinvestors.com/media-center/news-details/2024/Shopify-Q3-2024-Revenue-Growth-Accelerates-to-26-Free-Cash-Flow-Margin-Expands-to-19/default.aspx?utm_source=chatgpt.com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</si>
</sst>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quot;$&quot;#,##0.00"/>
    <numFmt numFmtId="165" formatCode="&quot;$&quot;#,##0.000"/>
    <numFmt numFmtId="166" formatCode="_([$$-409]* #,##0.00_);_([$$-409]* \(#,##0.00\);_([$$-409]* &quot;-&quot;??_);_(@_)"/>
  </numFmts>
  <fonts count="10" x14ac:knownFonts="1">
    <font>
      <sz val="11"/>
      <color theme="1"/>
      <name val="Aptos Narrow"/>
      <family val="2"/>
      <scheme val="minor"/>
    </font>
    <font>
      <b/>
      <sz val="11"/>
      <color theme="1"/>
      <name val="Aptos Narrow"/>
      <family val="2"/>
      <scheme val="minor"/>
    </font>
    <font>
      <sz val="11"/>
      <color rgb="FF000000"/>
      <name val="Calibri"/>
      <family val="2"/>
    </font>
    <font>
      <sz val="11"/>
      <color rgb="FF000000"/>
      <name val="Aptos Narrow"/>
      <family val="2"/>
      <scheme val="minor"/>
    </font>
    <font>
      <u/>
      <sz val="11"/>
      <color theme="10"/>
      <name val="Aptos Narrow"/>
      <family val="2"/>
      <scheme val="minor"/>
    </font>
    <font>
      <sz val="11"/>
      <color theme="1"/>
      <name val="Calibri"/>
      <family val="2"/>
    </font>
    <font>
      <sz val="11"/>
      <color rgb="FF000000"/>
      <name val="Aptos Narrow"/>
      <family val="2"/>
      <scheme val="minor"/>
    </font>
    <font>
      <b/>
      <sz val="11"/>
      <color rgb="FF000000"/>
      <name val="Aptos Narrow"/>
      <family val="2"/>
      <scheme val="minor"/>
    </font>
    <font>
      <sz val="11"/>
      <color rgb="FF000000"/>
      <name val="Aptos Narrow"/>
      <family val="2"/>
    </font>
    <font>
      <sz val="11"/>
      <color rgb="FF000000"/>
      <name val="Aptos Narrow"/>
      <family val="2"/>
    </font>
  </fonts>
  <fills count="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00"/>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80">
    <xf numFmtId="0" fontId="0" fillId="0" borderId="0" xfId="0"/>
    <xf numFmtId="8" fontId="2" fillId="0" borderId="0" xfId="0" applyNumberFormat="1" applyFont="1"/>
    <xf numFmtId="164" fontId="2" fillId="0" borderId="0" xfId="0" applyNumberFormat="1" applyFont="1"/>
    <xf numFmtId="164" fontId="2" fillId="0" borderId="0" xfId="0" applyNumberFormat="1" applyFont="1" applyAlignment="1">
      <alignment wrapText="1"/>
    </xf>
    <xf numFmtId="164" fontId="0" fillId="0" borderId="0" xfId="0" applyNumberFormat="1"/>
    <xf numFmtId="164" fontId="0" fillId="0" borderId="0" xfId="0" applyNumberFormat="1" applyAlignment="1">
      <alignment horizontal="center" vertical="center" wrapText="1"/>
    </xf>
    <xf numFmtId="164" fontId="0" fillId="0" borderId="0" xfId="0" applyNumberFormat="1" applyAlignment="1">
      <alignment vertical="center" wrapText="1"/>
    </xf>
    <xf numFmtId="164" fontId="0" fillId="0" borderId="0" xfId="0" applyNumberFormat="1" applyAlignment="1">
      <alignment horizontal="right" vertical="center"/>
    </xf>
    <xf numFmtId="164" fontId="0" fillId="0" borderId="0" xfId="0" applyNumberFormat="1" applyAlignment="1">
      <alignment horizontal="right" vertical="center" wrapText="1"/>
    </xf>
    <xf numFmtId="165" fontId="0" fillId="0" borderId="0" xfId="0" applyNumberFormat="1"/>
    <xf numFmtId="10" fontId="0" fillId="0" borderId="0" xfId="0" applyNumberFormat="1"/>
    <xf numFmtId="0" fontId="0" fillId="2" borderId="0" xfId="0" applyFill="1"/>
    <xf numFmtId="0" fontId="1" fillId="3" borderId="0" xfId="0" applyFont="1" applyFill="1" applyAlignment="1">
      <alignment horizontal="center" vertical="center" wrapText="1"/>
    </xf>
    <xf numFmtId="0" fontId="0" fillId="3" borderId="0" xfId="0" applyFill="1" applyAlignment="1">
      <alignment vertical="center" wrapText="1"/>
    </xf>
    <xf numFmtId="0" fontId="1" fillId="3" borderId="0" xfId="0" applyFont="1" applyFill="1" applyAlignment="1">
      <alignment horizontal="left" vertical="center" wrapText="1"/>
    </xf>
    <xf numFmtId="0" fontId="3" fillId="0" borderId="0" xfId="0" applyFont="1" applyAlignment="1">
      <alignment horizontal="left"/>
    </xf>
    <xf numFmtId="0" fontId="3" fillId="0" borderId="1" xfId="0" applyFont="1" applyBorder="1" applyAlignment="1">
      <alignment horizontal="left" wrapText="1"/>
    </xf>
    <xf numFmtId="0" fontId="3" fillId="0" borderId="2" xfId="0" applyFont="1" applyBorder="1" applyAlignment="1">
      <alignment horizontal="left" wrapText="1"/>
    </xf>
    <xf numFmtId="0" fontId="0" fillId="0" borderId="0" xfId="0" applyAlignment="1">
      <alignment horizontal="left" vertical="center" wrapText="1"/>
    </xf>
    <xf numFmtId="0" fontId="0" fillId="0" borderId="0" xfId="0" applyAlignment="1">
      <alignment horizontal="left"/>
    </xf>
    <xf numFmtId="0" fontId="1" fillId="0" borderId="0" xfId="0" applyFont="1" applyAlignment="1">
      <alignment horizontal="left"/>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164" fontId="0" fillId="0" borderId="0" xfId="0" applyNumberFormat="1" applyAlignment="1">
      <alignment horizontal="left"/>
    </xf>
    <xf numFmtId="164" fontId="0" fillId="0" borderId="0" xfId="0" applyNumberFormat="1" applyAlignment="1">
      <alignment horizontal="left" vertical="center" wrapText="1"/>
    </xf>
    <xf numFmtId="164" fontId="0" fillId="0" borderId="0" xfId="0" applyNumberFormat="1" applyAlignment="1">
      <alignment horizontal="left" vertical="center"/>
    </xf>
    <xf numFmtId="0" fontId="0" fillId="2" borderId="0" xfId="0" applyFill="1" applyAlignment="1">
      <alignment horizontal="left"/>
    </xf>
    <xf numFmtId="0" fontId="4" fillId="0" borderId="0" xfId="1"/>
    <xf numFmtId="8" fontId="0" fillId="0" borderId="0" xfId="0" applyNumberFormat="1"/>
    <xf numFmtId="8" fontId="1" fillId="3" borderId="0" xfId="0" applyNumberFormat="1" applyFont="1" applyFill="1" applyAlignment="1">
      <alignment horizontal="center" vertical="center" wrapText="1"/>
    </xf>
    <xf numFmtId="164" fontId="1" fillId="3" borderId="0" xfId="0" applyNumberFormat="1" applyFont="1" applyFill="1" applyAlignment="1">
      <alignment horizontal="center" vertical="center" wrapText="1"/>
    </xf>
    <xf numFmtId="164" fontId="0" fillId="0" borderId="0" xfId="0" applyNumberFormat="1" applyAlignment="1">
      <alignment horizontal="right"/>
    </xf>
    <xf numFmtId="0" fontId="1" fillId="0" borderId="0" xfId="0" applyFont="1"/>
    <xf numFmtId="0" fontId="6" fillId="0" borderId="0" xfId="0" applyFont="1" applyAlignment="1">
      <alignment vertical="top" wrapText="1"/>
    </xf>
    <xf numFmtId="164" fontId="0" fillId="0" borderId="0" xfId="0" applyNumberFormat="1" applyAlignment="1">
      <alignment vertical="center"/>
    </xf>
    <xf numFmtId="8" fontId="0" fillId="0" borderId="0" xfId="0" applyNumberFormat="1" applyAlignment="1">
      <alignment horizontal="left" vertical="center"/>
    </xf>
    <xf numFmtId="0" fontId="0" fillId="0" borderId="0" xfId="0" applyAlignment="1">
      <alignment wrapText="1"/>
    </xf>
    <xf numFmtId="8" fontId="8" fillId="0" borderId="0" xfId="0" applyNumberFormat="1" applyFont="1"/>
    <xf numFmtId="0" fontId="0" fillId="0" borderId="0" xfId="0" applyAlignment="1">
      <alignment vertical="top" wrapText="1"/>
    </xf>
    <xf numFmtId="0" fontId="5" fillId="0" borderId="0" xfId="0" applyFont="1" applyAlignment="1">
      <alignment horizontal="left" vertical="center"/>
    </xf>
    <xf numFmtId="6" fontId="0" fillId="0" borderId="0" xfId="0" applyNumberFormat="1" applyAlignment="1">
      <alignment horizontal="left" vertical="center"/>
    </xf>
    <xf numFmtId="166" fontId="0" fillId="0" borderId="0" xfId="0" applyNumberFormat="1" applyAlignment="1">
      <alignment horizontal="left" vertical="center"/>
    </xf>
    <xf numFmtId="0" fontId="0" fillId="4" borderId="0" xfId="0" applyFill="1" applyAlignment="1">
      <alignment horizontal="left" vertical="center" wrapText="1"/>
    </xf>
    <xf numFmtId="164" fontId="1" fillId="4" borderId="0" xfId="0" applyNumberFormat="1" applyFont="1" applyFill="1" applyAlignment="1">
      <alignment horizontal="center" vertical="center" wrapText="1"/>
    </xf>
    <xf numFmtId="0" fontId="1" fillId="3" borderId="3" xfId="0" applyFont="1" applyFill="1" applyBorder="1" applyAlignment="1">
      <alignment horizontal="left" vertical="center" wrapText="1"/>
    </xf>
    <xf numFmtId="0" fontId="1" fillId="3" borderId="3" xfId="0" applyFont="1" applyFill="1" applyBorder="1" applyAlignment="1">
      <alignment horizontal="center" vertical="center" wrapText="1"/>
    </xf>
    <xf numFmtId="0" fontId="0" fillId="3" borderId="3" xfId="0" applyFill="1" applyBorder="1" applyAlignment="1">
      <alignment vertical="center" wrapText="1"/>
    </xf>
    <xf numFmtId="0" fontId="3" fillId="0" borderId="3" xfId="0" applyFont="1" applyBorder="1" applyAlignment="1">
      <alignment horizontal="left"/>
    </xf>
    <xf numFmtId="8" fontId="9" fillId="0" borderId="3" xfId="0" applyNumberFormat="1" applyFont="1" applyBorder="1"/>
    <xf numFmtId="0" fontId="3" fillId="0" borderId="3" xfId="0" applyFont="1" applyBorder="1" applyAlignment="1">
      <alignment horizontal="left" wrapText="1"/>
    </xf>
    <xf numFmtId="6" fontId="9" fillId="0" borderId="3" xfId="0" applyNumberFormat="1" applyFont="1" applyBorder="1"/>
    <xf numFmtId="8" fontId="1" fillId="3" borderId="3" xfId="0" applyNumberFormat="1" applyFont="1" applyFill="1" applyBorder="1" applyAlignment="1">
      <alignment horizontal="center" vertical="center" wrapText="1"/>
    </xf>
    <xf numFmtId="0" fontId="0" fillId="0" borderId="3" xfId="0" applyBorder="1" applyAlignment="1">
      <alignment horizontal="left"/>
    </xf>
    <xf numFmtId="164" fontId="0" fillId="2" borderId="3" xfId="0" applyNumberFormat="1" applyFill="1" applyBorder="1"/>
    <xf numFmtId="0" fontId="0" fillId="2" borderId="3" xfId="0" applyFill="1" applyBorder="1"/>
    <xf numFmtId="0" fontId="0" fillId="0" borderId="3" xfId="0" applyBorder="1" applyAlignment="1">
      <alignment horizontal="left" vertical="center" wrapText="1"/>
    </xf>
    <xf numFmtId="164" fontId="0" fillId="0" borderId="3" xfId="0" applyNumberFormat="1" applyBorder="1" applyAlignment="1">
      <alignment horizontal="right"/>
    </xf>
    <xf numFmtId="164" fontId="0" fillId="0" borderId="3" xfId="0" applyNumberFormat="1" applyBorder="1" applyAlignment="1">
      <alignment horizontal="right" vertical="center" wrapText="1"/>
    </xf>
    <xf numFmtId="164" fontId="0" fillId="0" borderId="3" xfId="0" applyNumberFormat="1" applyBorder="1"/>
    <xf numFmtId="164" fontId="0" fillId="0" borderId="3" xfId="0" applyNumberFormat="1" applyBorder="1" applyAlignment="1">
      <alignment vertical="center" wrapText="1"/>
    </xf>
    <xf numFmtId="164" fontId="0" fillId="0" borderId="3" xfId="0" applyNumberFormat="1" applyBorder="1" applyAlignment="1">
      <alignment vertical="center"/>
    </xf>
    <xf numFmtId="164" fontId="8" fillId="0" borderId="3" xfId="0" applyNumberFormat="1" applyFont="1" applyBorder="1"/>
    <xf numFmtId="8" fontId="8" fillId="0" borderId="3" xfId="0" applyNumberFormat="1" applyFont="1" applyBorder="1"/>
    <xf numFmtId="164" fontId="6" fillId="0" borderId="3" xfId="0" applyNumberFormat="1" applyFont="1" applyBorder="1"/>
    <xf numFmtId="164" fontId="1" fillId="3" borderId="3" xfId="0" applyNumberFormat="1" applyFont="1" applyFill="1" applyBorder="1" applyAlignment="1">
      <alignment horizontal="center" vertical="center" wrapText="1"/>
    </xf>
    <xf numFmtId="0" fontId="3" fillId="2" borderId="3" xfId="0" applyFont="1" applyFill="1" applyBorder="1" applyAlignment="1">
      <alignment horizontal="left" vertical="center" wrapText="1"/>
    </xf>
    <xf numFmtId="164" fontId="0" fillId="2" borderId="3" xfId="0" applyNumberFormat="1" applyFill="1" applyBorder="1" applyAlignment="1">
      <alignment horizontal="right" vertical="center" wrapText="1"/>
    </xf>
    <xf numFmtId="0" fontId="1" fillId="2" borderId="3" xfId="0" applyFont="1" applyFill="1" applyBorder="1" applyAlignment="1">
      <alignment horizontal="center" vertical="center" wrapText="1"/>
    </xf>
    <xf numFmtId="10" fontId="0" fillId="0" borderId="3" xfId="0" applyNumberFormat="1" applyBorder="1"/>
    <xf numFmtId="0" fontId="0" fillId="2" borderId="3" xfId="0" applyFill="1" applyBorder="1" applyAlignment="1">
      <alignment horizontal="left" vertical="center" wrapText="1"/>
    </xf>
    <xf numFmtId="8" fontId="1" fillId="2" borderId="0" xfId="0" applyNumberFormat="1" applyFont="1" applyFill="1" applyAlignment="1">
      <alignment horizontal="center" vertical="center" wrapText="1"/>
    </xf>
    <xf numFmtId="8" fontId="9" fillId="0" borderId="0" xfId="0" applyNumberFormat="1" applyFont="1"/>
    <xf numFmtId="164" fontId="0" fillId="0" borderId="3" xfId="0" applyNumberFormat="1" applyBorder="1" applyAlignment="1">
      <alignment wrapText="1"/>
    </xf>
    <xf numFmtId="164" fontId="0" fillId="0" borderId="0" xfId="0" applyNumberFormat="1" applyAlignment="1">
      <alignment wrapText="1"/>
    </xf>
    <xf numFmtId="0" fontId="4" fillId="0" borderId="0" xfId="1" applyBorder="1"/>
    <xf numFmtId="165" fontId="4" fillId="0" borderId="0" xfId="1" applyNumberFormat="1" applyBorder="1"/>
    <xf numFmtId="165" fontId="0" fillId="2" borderId="0" xfId="0" applyNumberFormat="1" applyFill="1"/>
    <xf numFmtId="8" fontId="2" fillId="0" borderId="3" xfId="0" applyNumberFormat="1" applyFont="1" applyBorder="1"/>
    <xf numFmtId="0" fontId="7" fillId="0" borderId="3" xfId="0" applyFont="1" applyBorder="1" applyAlignment="1">
      <alignment horizontal="center"/>
    </xf>
    <xf numFmtId="0" fontId="0" fillId="0" borderId="3"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2</xdr:col>
      <xdr:colOff>923925</xdr:colOff>
      <xdr:row>51</xdr:row>
      <xdr:rowOff>66675</xdr:rowOff>
    </xdr:to>
    <xdr:pic>
      <xdr:nvPicPr>
        <xdr:cNvPr id="2" name="Picture 1">
          <a:extLst>
            <a:ext uri="{FF2B5EF4-FFF2-40B4-BE49-F238E27FC236}">
              <a16:creationId xmlns:a16="http://schemas.microsoft.com/office/drawing/2014/main" id="{505DE24F-409E-ADA8-5045-8FD7B7FFAEEE}"/>
            </a:ext>
          </a:extLst>
        </xdr:cNvPr>
        <xdr:cNvPicPr>
          <a:picLocks noChangeAspect="1"/>
        </xdr:cNvPicPr>
      </xdr:nvPicPr>
      <xdr:blipFill>
        <a:blip xmlns:r="http://schemas.openxmlformats.org/officeDocument/2006/relationships" r:embed="rId1"/>
        <a:stretch>
          <a:fillRect/>
        </a:stretch>
      </xdr:blipFill>
      <xdr:spPr>
        <a:xfrm>
          <a:off x="0" y="9182100"/>
          <a:ext cx="4572000" cy="1209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shopifyinvestors.com/media-center/news-details/2024/Shopify-Q3-2024-Revenue-Growth-Accelerates-to-26-Free-Cash-Flow-Margin-Expands-to-19/default.aspx?utm_source=chatgpt.com" TargetMode="External"/><Relationship Id="rId2" Type="http://schemas.openxmlformats.org/officeDocument/2006/relationships/hyperlink" Target="https://help.shopify.com/en/partners/how-to-earn?utm_source=chatgpt.com" TargetMode="External"/><Relationship Id="rId1" Type="http://schemas.openxmlformats.org/officeDocument/2006/relationships/hyperlink" Target="https://www.investors.com/news/technology/shopify-stock-shop-shopify-earnings-q42024/?utm_source=chatgpt.com" TargetMode="External"/><Relationship Id="rId5" Type="http://schemas.openxmlformats.org/officeDocument/2006/relationships/drawing" Target="../drawings/drawing1.xml"/><Relationship Id="rId4" Type="http://schemas.openxmlformats.org/officeDocument/2006/relationships/hyperlink" Target="https://shopifyinvestors.com/media-center/news-details/2024/Shopify-Q3-2024-Revenue-Growth-Accelerates-to-26-Free-Cash-Flow-Margin-Expands-to-19/default.aspx?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0FB-5DAD-4EBC-93B9-B453B1B304C9}">
  <dimension ref="A1:XEZ49"/>
  <sheetViews>
    <sheetView tabSelected="1" workbookViewId="0">
      <selection activeCell="O34" sqref="O34"/>
    </sheetView>
  </sheetViews>
  <sheetFormatPr defaultColWidth="8.88671875" defaultRowHeight="15" customHeight="1" x14ac:dyDescent="0.3"/>
  <cols>
    <col min="1" max="1" width="34.6640625" style="19" customWidth="1"/>
    <col min="2" max="2" width="20" style="11" hidden="1" customWidth="1"/>
    <col min="3" max="3" width="21" style="11" hidden="1" customWidth="1"/>
    <col min="4" max="4" width="18.44140625" style="11" hidden="1" customWidth="1"/>
    <col min="5" max="5" width="18.109375" style="11" hidden="1" customWidth="1"/>
    <col min="6" max="6" width="17.88671875" style="11" hidden="1" customWidth="1"/>
    <col min="7" max="7" width="17.6640625" style="11" hidden="1" customWidth="1"/>
    <col min="8" max="8" width="18.44140625" style="11" hidden="1" customWidth="1"/>
    <col min="9" max="9" width="22.6640625" style="11" hidden="1" customWidth="1"/>
    <col min="10" max="10" width="18.109375" style="11" hidden="1" customWidth="1"/>
    <col min="11" max="11" width="19.44140625" style="11" hidden="1" customWidth="1"/>
    <col min="12" max="12" width="20.33203125" style="11" customWidth="1"/>
    <col min="13" max="13" width="19.33203125" style="11" customWidth="1"/>
    <col min="14" max="14" width="18.6640625" style="11" bestFit="1" customWidth="1"/>
    <col min="15" max="18" width="17.6640625" style="11" bestFit="1" customWidth="1"/>
    <col min="19" max="21" width="21.44140625" style="11" bestFit="1" customWidth="1"/>
    <col min="22" max="22" width="24.5546875" style="11" customWidth="1"/>
    <col min="23" max="27" width="9.109375" style="11" bestFit="1" customWidth="1"/>
    <col min="28" max="28" width="22.44140625" style="11" customWidth="1"/>
    <col min="29" max="29" width="15.6640625" style="11" customWidth="1"/>
    <col min="30" max="16384" width="8.88671875" style="11"/>
  </cols>
  <sheetData>
    <row r="1" spans="1:1008 1029:2037 2058:3066 3087:4095 4116:5103 5124:6132 6153:7161 7182:8190 8211:9198 9219:10227 10248:11256 11277:12285 12306:13293 13314:14322 14343:15351 15372:16380" ht="15" customHeight="1" x14ac:dyDescent="0.3">
      <c r="A1" s="78" t="s">
        <v>0</v>
      </c>
      <c r="B1" s="79"/>
      <c r="C1" s="79"/>
      <c r="D1" s="79"/>
      <c r="E1" s="79"/>
      <c r="F1" s="79"/>
      <c r="G1" s="79"/>
      <c r="H1" s="79"/>
      <c r="I1" s="79"/>
      <c r="J1" s="79"/>
      <c r="K1" s="79"/>
      <c r="L1" s="79"/>
      <c r="M1" s="79"/>
      <c r="N1" s="79"/>
      <c r="O1" s="79"/>
      <c r="P1" s="79"/>
      <c r="Q1" s="79"/>
      <c r="R1" s="79"/>
      <c r="S1" s="79"/>
      <c r="T1" s="79"/>
      <c r="U1" s="79"/>
    </row>
    <row r="2" spans="1:1008 1029:2037 2058:3066 3087:4095 4116:5103 5124:6132 6153:7161 7182:8190 8211:9198 9219:10227 10248:11256 11277:12285 12306:13293 13314:14322 14343:15351 15372:16380" ht="14.4" x14ac:dyDescent="0.3">
      <c r="A2" s="44" t="s">
        <v>1</v>
      </c>
      <c r="B2" s="45" t="s">
        <v>2</v>
      </c>
      <c r="C2" s="45" t="s">
        <v>3</v>
      </c>
      <c r="D2" s="45" t="s">
        <v>4</v>
      </c>
      <c r="E2" s="45" t="s">
        <v>5</v>
      </c>
      <c r="F2" s="45" t="s">
        <v>6</v>
      </c>
      <c r="G2" s="45" t="s">
        <v>7</v>
      </c>
      <c r="H2" s="45" t="s">
        <v>8</v>
      </c>
      <c r="I2" s="45" t="s">
        <v>9</v>
      </c>
      <c r="J2" s="45" t="s">
        <v>10</v>
      </c>
      <c r="K2" s="45" t="s">
        <v>11</v>
      </c>
      <c r="L2" s="45" t="s">
        <v>12</v>
      </c>
      <c r="M2" s="45" t="s">
        <v>13</v>
      </c>
      <c r="N2" s="45" t="s">
        <v>14</v>
      </c>
      <c r="O2" s="45" t="s">
        <v>15</v>
      </c>
      <c r="P2" s="45" t="s">
        <v>16</v>
      </c>
      <c r="Q2" s="45" t="s">
        <v>17</v>
      </c>
      <c r="R2" s="45" t="s">
        <v>18</v>
      </c>
      <c r="S2" s="45" t="s">
        <v>19</v>
      </c>
      <c r="T2" s="45" t="s">
        <v>20</v>
      </c>
      <c r="U2" s="45" t="s">
        <v>21</v>
      </c>
    </row>
    <row r="3" spans="1:1008 1029:2037 2058:3066 3087:4095 4116:5103 5124:6132 6153:7161 7182:8190 8211:9198 9219:10227 10248:11256 11277:12285 12306:13293 13314:14322 14343:15351 15372:16380" ht="14.4" x14ac:dyDescent="0.3">
      <c r="A3" s="44" t="s">
        <v>22</v>
      </c>
      <c r="B3" s="46"/>
      <c r="C3" s="46"/>
      <c r="D3" s="46"/>
      <c r="E3" s="46"/>
      <c r="F3" s="46"/>
      <c r="G3" s="46"/>
      <c r="H3" s="46"/>
      <c r="I3" s="46"/>
      <c r="J3" s="46"/>
      <c r="K3" s="46"/>
      <c r="L3" s="46"/>
      <c r="M3" s="46"/>
      <c r="N3" s="46"/>
      <c r="O3" s="46"/>
      <c r="P3" s="46"/>
      <c r="Q3" s="46"/>
      <c r="R3" s="46"/>
      <c r="S3" s="46"/>
      <c r="T3" s="46"/>
      <c r="U3" s="46"/>
    </row>
    <row r="4" spans="1:1008 1029:2037 2058:3066 3087:4095 4116:5103 5124:6132 6153:7161 7182:8190 8211:9198 9219:10227 10248:11256 11277:12285 12306:13293 13314:14322 14343:15351 15372:16380" ht="14.4" x14ac:dyDescent="0.3">
      <c r="A4" s="47" t="s">
        <v>23</v>
      </c>
      <c r="B4" s="47"/>
      <c r="C4" s="48">
        <v>4040100</v>
      </c>
      <c r="D4" s="48">
        <v>4444110</v>
      </c>
      <c r="E4" s="48">
        <v>4848120</v>
      </c>
      <c r="F4" s="48">
        <v>5252130</v>
      </c>
      <c r="G4" s="48">
        <v>5656140</v>
      </c>
      <c r="H4" s="48">
        <v>6787368</v>
      </c>
      <c r="I4" s="48">
        <v>7918596</v>
      </c>
      <c r="J4" s="48">
        <v>9049824</v>
      </c>
      <c r="K4" s="48">
        <v>10181052</v>
      </c>
      <c r="L4" s="48">
        <v>11312280</v>
      </c>
      <c r="M4" s="48">
        <v>14140350</v>
      </c>
      <c r="N4" s="48">
        <v>16968420</v>
      </c>
      <c r="O4" s="48">
        <v>19796490</v>
      </c>
      <c r="P4" s="48">
        <v>22624560</v>
      </c>
      <c r="Q4" s="48">
        <v>25452630</v>
      </c>
      <c r="R4" s="48">
        <v>16544209.5</v>
      </c>
      <c r="S4" s="48">
        <v>33088419</v>
      </c>
      <c r="T4" s="48">
        <v>40724208</v>
      </c>
      <c r="U4" s="48">
        <v>48359997</v>
      </c>
    </row>
    <row r="5" spans="1:1008 1029:2037 2058:3066 3087:4095 4116:5103 5124:6132 6153:7161 7182:8190 8211:9198 9219:10227 10248:11256 11277:12285 12306:13293 13314:14322 14343:15351 15372:16380" ht="14.4" x14ac:dyDescent="0.3">
      <c r="A5" s="47" t="s">
        <v>24</v>
      </c>
      <c r="B5" s="47"/>
      <c r="C5" s="48">
        <v>2000000</v>
      </c>
      <c r="D5" s="48">
        <v>2200000</v>
      </c>
      <c r="E5" s="48">
        <v>2400000</v>
      </c>
      <c r="F5" s="48">
        <v>2600000</v>
      </c>
      <c r="G5" s="48">
        <v>2800000</v>
      </c>
      <c r="H5" s="48">
        <v>5040000</v>
      </c>
      <c r="I5" s="48">
        <v>5880000</v>
      </c>
      <c r="J5" s="48">
        <v>6720000</v>
      </c>
      <c r="K5" s="48">
        <v>7560000</v>
      </c>
      <c r="L5" s="48">
        <v>8400000</v>
      </c>
      <c r="M5" s="48">
        <v>14000000</v>
      </c>
      <c r="N5" s="48">
        <v>16800000</v>
      </c>
      <c r="O5" s="48">
        <v>19600000</v>
      </c>
      <c r="P5" s="48">
        <v>22400000</v>
      </c>
      <c r="Q5" s="48">
        <v>25200000</v>
      </c>
      <c r="R5" s="48">
        <v>20475000</v>
      </c>
      <c r="S5" s="48">
        <v>40950000</v>
      </c>
      <c r="T5" s="48">
        <v>50400000</v>
      </c>
      <c r="U5" s="48">
        <v>59850000</v>
      </c>
    </row>
    <row r="6" spans="1:1008 1029:2037 2058:3066 3087:4095 4116:5103 5124:6132 6153:7161 7182:8190 8211:9198 9219:10227 10248:11256 11277:12285 12306:13293 13314:14322 14343:15351 15372:16380" ht="14.4" x14ac:dyDescent="0.3">
      <c r="A6" s="47" t="s">
        <v>25</v>
      </c>
      <c r="B6" s="47"/>
      <c r="C6" s="48">
        <v>3000000</v>
      </c>
      <c r="D6" s="48">
        <v>3300000</v>
      </c>
      <c r="E6" s="48">
        <v>3600000</v>
      </c>
      <c r="F6" s="48">
        <v>3900000</v>
      </c>
      <c r="G6" s="48">
        <v>4200000</v>
      </c>
      <c r="H6" s="48">
        <v>5460000</v>
      </c>
      <c r="I6" s="48">
        <v>6370000</v>
      </c>
      <c r="J6" s="48">
        <v>7280000</v>
      </c>
      <c r="K6" s="48">
        <v>8190000</v>
      </c>
      <c r="L6" s="48">
        <v>9100000</v>
      </c>
      <c r="M6" s="48">
        <v>12250000</v>
      </c>
      <c r="N6" s="48">
        <v>14700000</v>
      </c>
      <c r="O6" s="48">
        <v>17150000</v>
      </c>
      <c r="P6" s="48">
        <v>19600000</v>
      </c>
      <c r="Q6" s="48">
        <v>22050000</v>
      </c>
      <c r="R6" s="48">
        <v>307125000</v>
      </c>
      <c r="S6" s="48">
        <v>37800000</v>
      </c>
      <c r="T6" s="48">
        <v>44887500</v>
      </c>
      <c r="U6" s="48">
        <v>51975000</v>
      </c>
    </row>
    <row r="7" spans="1:1008 1029:2037 2058:3066 3087:4095 4116:5103 5124:6132 6153:7161 7182:8190 8211:9198 9219:10227 10248:11256 11277:12285 12306:13293 13314:14322 14343:15351 15372:16380" ht="14.4" x14ac:dyDescent="0.3">
      <c r="A7" s="47" t="s">
        <v>26</v>
      </c>
      <c r="B7" s="47"/>
      <c r="C7" s="48">
        <v>26934000</v>
      </c>
      <c r="D7" s="48">
        <v>29627400</v>
      </c>
      <c r="E7" s="48">
        <v>32320800</v>
      </c>
      <c r="F7" s="48">
        <v>35014200</v>
      </c>
      <c r="G7" s="48">
        <v>37707600</v>
      </c>
      <c r="H7" s="48">
        <v>45249120</v>
      </c>
      <c r="I7" s="48">
        <v>52790640</v>
      </c>
      <c r="J7" s="48">
        <v>60332160</v>
      </c>
      <c r="K7" s="48">
        <v>67873680</v>
      </c>
      <c r="L7" s="48">
        <v>75415200</v>
      </c>
      <c r="M7" s="48">
        <v>94269000</v>
      </c>
      <c r="N7" s="48">
        <v>113122800</v>
      </c>
      <c r="O7" s="48">
        <v>131976600</v>
      </c>
      <c r="P7" s="48">
        <v>150830400</v>
      </c>
      <c r="Q7" s="48">
        <v>169684200</v>
      </c>
      <c r="R7" s="48">
        <v>110294730</v>
      </c>
      <c r="S7" s="48">
        <v>220589460</v>
      </c>
      <c r="T7" s="48">
        <v>271494720</v>
      </c>
      <c r="U7" s="48">
        <v>322399980</v>
      </c>
      <c r="V7" s="71"/>
    </row>
    <row r="8" spans="1:1008 1029:2037 2058:3066 3087:4095 4116:5103 5124:6132 6153:7161 7182:8190 8211:9198 9219:10227 10248:11256 11277:12285 12306:13293 13314:14322 14343:15351 15372:16380" ht="14.4" x14ac:dyDescent="0.3">
      <c r="A8" s="49" t="s">
        <v>27</v>
      </c>
      <c r="B8" s="54"/>
      <c r="C8" s="48">
        <v>2250000</v>
      </c>
      <c r="D8" s="48">
        <v>2475000</v>
      </c>
      <c r="E8" s="48">
        <v>2700000</v>
      </c>
      <c r="F8" s="48">
        <v>2925000</v>
      </c>
      <c r="G8" s="48">
        <v>3150000</v>
      </c>
      <c r="H8" s="48">
        <v>3780000</v>
      </c>
      <c r="I8" s="48">
        <v>4410000</v>
      </c>
      <c r="J8" s="48">
        <v>5040000</v>
      </c>
      <c r="K8" s="48">
        <v>5670000</v>
      </c>
      <c r="L8" s="48">
        <v>6300000</v>
      </c>
      <c r="M8" s="48">
        <v>10500000</v>
      </c>
      <c r="N8" s="48">
        <v>12600000</v>
      </c>
      <c r="O8" s="48">
        <v>14700000</v>
      </c>
      <c r="P8" s="48">
        <v>16800000</v>
      </c>
      <c r="Q8" s="48">
        <v>18900000</v>
      </c>
      <c r="R8" s="48">
        <v>24570000</v>
      </c>
      <c r="S8" s="48">
        <v>30240000</v>
      </c>
      <c r="T8" s="48">
        <v>35910000</v>
      </c>
      <c r="U8" s="48">
        <v>41580000</v>
      </c>
    </row>
    <row r="9" spans="1:1008 1029:2037 2058:3066 3087:4095 4116:5103 5124:6132 6153:7161 7182:8190 8211:9198 9219:10227 10248:11256 11277:12285 12306:13293 13314:14322 14343:15351 15372:16380" ht="14.4" x14ac:dyDescent="0.3">
      <c r="A9" s="49" t="s">
        <v>28</v>
      </c>
      <c r="B9" s="49"/>
      <c r="C9" s="48">
        <v>2000000</v>
      </c>
      <c r="D9" s="48">
        <v>2200000</v>
      </c>
      <c r="E9" s="48">
        <v>2400000</v>
      </c>
      <c r="F9" s="48">
        <v>2600000</v>
      </c>
      <c r="G9" s="48">
        <v>2800000</v>
      </c>
      <c r="H9" s="48">
        <v>5040000</v>
      </c>
      <c r="I9" s="48">
        <v>5880000</v>
      </c>
      <c r="J9" s="48">
        <v>6720000</v>
      </c>
      <c r="K9" s="48">
        <v>7560000</v>
      </c>
      <c r="L9" s="48">
        <v>8400000</v>
      </c>
      <c r="M9" s="48">
        <v>14000000</v>
      </c>
      <c r="N9" s="48">
        <v>16800000</v>
      </c>
      <c r="O9" s="48">
        <v>19600000</v>
      </c>
      <c r="P9" s="48">
        <v>22400000</v>
      </c>
      <c r="Q9" s="48">
        <v>25200000</v>
      </c>
      <c r="R9" s="48">
        <v>20475000</v>
      </c>
      <c r="S9" s="48">
        <v>40950000</v>
      </c>
      <c r="T9" s="48">
        <v>50400000</v>
      </c>
      <c r="U9" s="48">
        <v>59850000</v>
      </c>
    </row>
    <row r="10" spans="1:1008 1029:2037 2058:3066 3087:4095 4116:5103 5124:6132 6153:7161 7182:8190 8211:9198 9219:10227 10248:11256 11277:12285 12306:13293 13314:14322 14343:15351 15372:16380" ht="14.4" x14ac:dyDescent="0.3">
      <c r="A10" s="49" t="s">
        <v>29</v>
      </c>
      <c r="B10" s="49"/>
      <c r="C10" s="50">
        <v>6000000</v>
      </c>
      <c r="D10" s="50">
        <v>6600000</v>
      </c>
      <c r="E10" s="50">
        <v>7260000</v>
      </c>
      <c r="F10" s="50">
        <v>7986000</v>
      </c>
      <c r="G10" s="50">
        <v>8784600</v>
      </c>
      <c r="H10" s="50">
        <v>11273570</v>
      </c>
      <c r="I10" s="50">
        <v>12400927</v>
      </c>
      <c r="J10" s="50">
        <v>13641020</v>
      </c>
      <c r="K10" s="50">
        <v>15005122</v>
      </c>
      <c r="L10" s="50">
        <v>16505634</v>
      </c>
      <c r="M10" s="50">
        <v>20749940</v>
      </c>
      <c r="N10" s="50">
        <v>22824934</v>
      </c>
      <c r="O10" s="50">
        <v>25107427</v>
      </c>
      <c r="P10" s="50">
        <v>27618170</v>
      </c>
      <c r="Q10" s="50">
        <v>30379987</v>
      </c>
      <c r="R10" s="50">
        <v>37595234</v>
      </c>
      <c r="S10" s="50">
        <v>41354757</v>
      </c>
      <c r="T10" s="50">
        <v>45490233</v>
      </c>
      <c r="U10" s="50">
        <v>50039256</v>
      </c>
    </row>
    <row r="11" spans="1:1008 1029:2037 2058:3066 3087:4095 4116:5103 5124:6132 6153:7161 7182:8190 8211:9198 9219:10227 10248:11256 11277:12285 12306:13293 13314:14322 14343:15351 15372:16380" s="12" customFormat="1" ht="14.4" x14ac:dyDescent="0.3">
      <c r="A11" s="44" t="s">
        <v>30</v>
      </c>
      <c r="B11" s="45"/>
      <c r="C11" s="51">
        <f>SUM(C4:C10)</f>
        <v>46224100</v>
      </c>
      <c r="D11" s="51">
        <f>SUM(D4:D10)</f>
        <v>50846510</v>
      </c>
      <c r="E11" s="51">
        <f t="shared" ref="E11:U11" si="0">SUM(E4:E10)</f>
        <v>55528920</v>
      </c>
      <c r="F11" s="51">
        <f t="shared" si="0"/>
        <v>60277330</v>
      </c>
      <c r="G11" s="51">
        <f t="shared" si="0"/>
        <v>65098340</v>
      </c>
      <c r="H11" s="51">
        <f t="shared" si="0"/>
        <v>82630058</v>
      </c>
      <c r="I11" s="51">
        <f t="shared" si="0"/>
        <v>95650163</v>
      </c>
      <c r="J11" s="51">
        <f t="shared" si="0"/>
        <v>108783004</v>
      </c>
      <c r="K11" s="51">
        <f t="shared" si="0"/>
        <v>122039854</v>
      </c>
      <c r="L11" s="51">
        <f t="shared" si="0"/>
        <v>135433114</v>
      </c>
      <c r="M11" s="51">
        <f t="shared" si="0"/>
        <v>179909290</v>
      </c>
      <c r="N11" s="51">
        <f t="shared" si="0"/>
        <v>213816154</v>
      </c>
      <c r="O11" s="51">
        <f t="shared" si="0"/>
        <v>247930517</v>
      </c>
      <c r="P11" s="51">
        <f t="shared" si="0"/>
        <v>282273130</v>
      </c>
      <c r="Q11" s="51">
        <f t="shared" si="0"/>
        <v>316866817</v>
      </c>
      <c r="R11" s="51">
        <f t="shared" si="0"/>
        <v>537079173.5</v>
      </c>
      <c r="S11" s="51">
        <f t="shared" si="0"/>
        <v>444972636</v>
      </c>
      <c r="T11" s="51">
        <f t="shared" si="0"/>
        <v>539306661</v>
      </c>
      <c r="U11" s="51">
        <f t="shared" si="0"/>
        <v>634054233</v>
      </c>
      <c r="V11" s="70"/>
      <c r="W11" s="21"/>
      <c r="X11" s="21"/>
      <c r="Y11" s="21"/>
      <c r="Z11" s="21"/>
      <c r="AA11" s="21"/>
      <c r="AB11" s="21"/>
      <c r="AC11" s="21"/>
      <c r="AD11" s="21"/>
      <c r="AE11" s="21"/>
      <c r="AF11" s="21"/>
      <c r="AG11" s="21"/>
      <c r="AH11" s="21"/>
      <c r="AI11" s="21"/>
      <c r="AJ11" s="21"/>
      <c r="AK11" s="21"/>
      <c r="AL11" s="21"/>
      <c r="AM11" s="21"/>
      <c r="AN11" s="21"/>
      <c r="AO11" s="21"/>
      <c r="AP11" s="22"/>
      <c r="AQ11" s="21"/>
      <c r="AR11" s="21"/>
      <c r="AS11" s="21"/>
      <c r="AT11" s="21"/>
      <c r="AU11" s="21"/>
      <c r="AV11" s="21"/>
      <c r="AW11" s="21"/>
      <c r="AX11" s="21"/>
      <c r="AY11" s="21"/>
      <c r="AZ11" s="21"/>
      <c r="BA11" s="21"/>
      <c r="BB11" s="21"/>
      <c r="BC11" s="21"/>
      <c r="BD11" s="21"/>
      <c r="BE11" s="21"/>
      <c r="BF11" s="21"/>
      <c r="BG11" s="21"/>
      <c r="BH11" s="21"/>
      <c r="BI11" s="21"/>
      <c r="BJ11" s="21"/>
      <c r="BK11" s="22"/>
      <c r="BL11" s="21"/>
      <c r="BM11" s="21"/>
      <c r="BN11" s="21"/>
      <c r="BO11" s="21"/>
      <c r="BP11" s="21"/>
      <c r="BQ11" s="21"/>
      <c r="BR11" s="21"/>
      <c r="BS11" s="21"/>
      <c r="BT11" s="21"/>
      <c r="BU11" s="21"/>
      <c r="BV11" s="21"/>
      <c r="BW11" s="21"/>
      <c r="BX11" s="21"/>
      <c r="BY11" s="21"/>
      <c r="BZ11" s="21"/>
      <c r="CA11" s="21"/>
      <c r="CB11" s="21"/>
      <c r="CC11" s="21"/>
      <c r="CD11" s="21"/>
      <c r="CE11" s="21"/>
      <c r="CF11" s="22"/>
      <c r="CG11" s="21"/>
      <c r="CH11" s="21"/>
      <c r="CI11" s="21"/>
      <c r="CJ11" s="21"/>
      <c r="CK11" s="21"/>
      <c r="CL11" s="21"/>
      <c r="CM11" s="21"/>
      <c r="CN11" s="21"/>
      <c r="CO11" s="21"/>
      <c r="CP11" s="21"/>
      <c r="CQ11" s="21"/>
      <c r="CR11" s="21"/>
      <c r="CS11" s="21"/>
      <c r="CT11" s="21"/>
      <c r="CU11" s="21"/>
      <c r="CV11" s="21"/>
      <c r="CW11" s="21"/>
      <c r="CX11" s="21"/>
      <c r="CY11" s="21"/>
      <c r="CZ11" s="21"/>
      <c r="DA11" s="22"/>
      <c r="DB11" s="21"/>
      <c r="DC11" s="21"/>
      <c r="DD11" s="21"/>
      <c r="DE11" s="21"/>
      <c r="DF11" s="21"/>
      <c r="DG11" s="21"/>
      <c r="DH11" s="21"/>
      <c r="DI11" s="21"/>
      <c r="DJ11" s="21"/>
      <c r="DK11" s="21"/>
      <c r="DL11" s="21"/>
      <c r="DM11" s="21"/>
      <c r="DN11" s="21"/>
      <c r="DO11" s="21"/>
      <c r="DP11" s="21"/>
      <c r="DQ11" s="21"/>
      <c r="DR11" s="21"/>
      <c r="DS11" s="21"/>
      <c r="DT11" s="21"/>
      <c r="DU11" s="21"/>
      <c r="DV11" s="22"/>
      <c r="DW11" s="21"/>
      <c r="DX11" s="21"/>
      <c r="DY11" s="21"/>
      <c r="DZ11" s="21"/>
      <c r="EA11" s="21"/>
      <c r="EB11" s="21"/>
      <c r="EC11" s="21"/>
      <c r="ED11" s="21"/>
      <c r="EE11" s="21"/>
      <c r="EF11" s="21"/>
      <c r="EG11" s="21"/>
      <c r="EH11" s="21"/>
      <c r="EI11" s="21"/>
      <c r="EJ11" s="21"/>
      <c r="EK11" s="21"/>
      <c r="EL11" s="21"/>
      <c r="EM11" s="21"/>
      <c r="EN11" s="21"/>
      <c r="EQ11" s="14"/>
      <c r="FL11" s="14"/>
      <c r="GG11" s="14"/>
      <c r="HB11" s="14"/>
      <c r="HW11" s="14"/>
      <c r="IR11" s="14"/>
      <c r="JM11" s="14"/>
      <c r="KH11" s="14"/>
      <c r="LC11" s="14"/>
      <c r="LX11" s="14"/>
      <c r="MS11" s="14"/>
      <c r="NN11" s="14"/>
      <c r="OI11" s="14"/>
      <c r="PD11" s="14"/>
      <c r="PY11" s="14"/>
      <c r="QT11" s="14"/>
      <c r="RO11" s="14"/>
      <c r="SJ11" s="14"/>
      <c r="TE11" s="14"/>
      <c r="TZ11" s="14"/>
      <c r="UU11" s="14"/>
      <c r="VP11" s="14"/>
      <c r="WK11" s="14"/>
      <c r="XF11" s="14"/>
      <c r="YA11" s="14"/>
      <c r="YV11" s="14"/>
      <c r="ZQ11" s="14"/>
      <c r="AAL11" s="14"/>
      <c r="ABG11" s="14"/>
      <c r="ACB11" s="14"/>
      <c r="ACW11" s="14"/>
      <c r="ADR11" s="14"/>
      <c r="AEM11" s="14"/>
      <c r="AFH11" s="14"/>
      <c r="AGC11" s="14"/>
      <c r="AGX11" s="14"/>
      <c r="AHS11" s="14"/>
      <c r="AIN11" s="14"/>
      <c r="AJI11" s="14"/>
      <c r="AKD11" s="14"/>
      <c r="AKY11" s="14"/>
      <c r="ALT11" s="14"/>
      <c r="AMO11" s="14"/>
      <c r="ANJ11" s="14"/>
      <c r="AOE11" s="14"/>
      <c r="AOZ11" s="14"/>
      <c r="APU11" s="14"/>
      <c r="AQP11" s="14"/>
      <c r="ARK11" s="14"/>
      <c r="ASF11" s="14"/>
      <c r="ATA11" s="14"/>
      <c r="ATV11" s="14"/>
      <c r="AUQ11" s="14"/>
      <c r="AVL11" s="14"/>
      <c r="AWG11" s="14"/>
      <c r="AXB11" s="14"/>
      <c r="AXW11" s="14"/>
      <c r="AYR11" s="14"/>
      <c r="AZM11" s="14"/>
      <c r="BAH11" s="14"/>
      <c r="BBC11" s="14"/>
      <c r="BBX11" s="14"/>
      <c r="BCS11" s="14"/>
      <c r="BDN11" s="14"/>
      <c r="BEI11" s="14"/>
      <c r="BFD11" s="14"/>
      <c r="BFY11" s="14"/>
      <c r="BGT11" s="14"/>
      <c r="BHO11" s="14"/>
      <c r="BIJ11" s="14"/>
      <c r="BJE11" s="14"/>
      <c r="BJZ11" s="14"/>
      <c r="BKU11" s="14"/>
      <c r="BLP11" s="14"/>
      <c r="BMK11" s="14"/>
      <c r="BNF11" s="14"/>
      <c r="BOA11" s="14"/>
      <c r="BOV11" s="14"/>
      <c r="BPQ11" s="14"/>
      <c r="BQL11" s="14"/>
      <c r="BRG11" s="14"/>
      <c r="BSB11" s="14"/>
      <c r="BSW11" s="14"/>
      <c r="BTR11" s="14"/>
      <c r="BUM11" s="14"/>
      <c r="BVH11" s="14"/>
      <c r="BWC11" s="14"/>
      <c r="BWX11" s="14"/>
      <c r="BXS11" s="14"/>
      <c r="BYN11" s="14"/>
      <c r="BZI11" s="14"/>
      <c r="CAD11" s="14"/>
      <c r="CAY11" s="14"/>
      <c r="CBT11" s="14"/>
      <c r="CCO11" s="14"/>
      <c r="CDJ11" s="14"/>
      <c r="CEE11" s="14"/>
      <c r="CEZ11" s="14"/>
      <c r="CFU11" s="14"/>
      <c r="CGP11" s="14"/>
      <c r="CHK11" s="14"/>
      <c r="CIF11" s="14"/>
      <c r="CJA11" s="14"/>
      <c r="CJV11" s="14"/>
      <c r="CKQ11" s="14"/>
      <c r="CLL11" s="14"/>
      <c r="CMG11" s="14"/>
      <c r="CNB11" s="14"/>
      <c r="CNW11" s="14"/>
      <c r="COR11" s="14"/>
      <c r="CPM11" s="14"/>
      <c r="CQH11" s="14"/>
      <c r="CRC11" s="14"/>
      <c r="CRX11" s="14"/>
      <c r="CSS11" s="14"/>
      <c r="CTN11" s="14"/>
      <c r="CUI11" s="14"/>
      <c r="CVD11" s="14"/>
      <c r="CVY11" s="14"/>
      <c r="CWT11" s="14"/>
      <c r="CXO11" s="14"/>
      <c r="CYJ11" s="14"/>
      <c r="CZE11" s="14"/>
      <c r="CZZ11" s="14"/>
      <c r="DAU11" s="14"/>
      <c r="DBP11" s="14"/>
      <c r="DCK11" s="14"/>
      <c r="DDF11" s="14"/>
      <c r="DEA11" s="14"/>
      <c r="DEV11" s="14"/>
      <c r="DFQ11" s="14"/>
      <c r="DGL11" s="14"/>
      <c r="DHG11" s="14"/>
      <c r="DIB11" s="14"/>
      <c r="DIW11" s="14"/>
      <c r="DJR11" s="14"/>
      <c r="DKM11" s="14"/>
      <c r="DLH11" s="14"/>
      <c r="DMC11" s="14"/>
      <c r="DMX11" s="14"/>
      <c r="DNS11" s="14"/>
      <c r="DON11" s="14"/>
      <c r="DPI11" s="14"/>
      <c r="DQD11" s="14"/>
      <c r="DQY11" s="14"/>
      <c r="DRT11" s="14"/>
      <c r="DSO11" s="14"/>
      <c r="DTJ11" s="14"/>
      <c r="DUE11" s="14"/>
      <c r="DUZ11" s="14"/>
      <c r="DVU11" s="14"/>
      <c r="DWP11" s="14"/>
      <c r="DXK11" s="14"/>
      <c r="DYF11" s="14"/>
      <c r="DZA11" s="14"/>
      <c r="DZV11" s="14"/>
      <c r="EAQ11" s="14"/>
      <c r="EBL11" s="14"/>
      <c r="ECG11" s="14"/>
      <c r="EDB11" s="14"/>
      <c r="EDW11" s="14"/>
      <c r="EER11" s="14"/>
      <c r="EFM11" s="14"/>
      <c r="EGH11" s="14"/>
      <c r="EHC11" s="14"/>
      <c r="EHX11" s="14"/>
      <c r="EIS11" s="14"/>
      <c r="EJN11" s="14"/>
      <c r="EKI11" s="14"/>
      <c r="ELD11" s="14"/>
      <c r="ELY11" s="14"/>
      <c r="EMT11" s="14"/>
      <c r="ENO11" s="14"/>
      <c r="EOJ11" s="14"/>
      <c r="EPE11" s="14"/>
      <c r="EPZ11" s="14"/>
      <c r="EQU11" s="14"/>
      <c r="ERP11" s="14"/>
      <c r="ESK11" s="14"/>
      <c r="ETF11" s="14"/>
      <c r="EUA11" s="14"/>
      <c r="EUV11" s="14"/>
      <c r="EVQ11" s="14"/>
      <c r="EWL11" s="14"/>
      <c r="EXG11" s="14"/>
      <c r="EYB11" s="14"/>
      <c r="EYW11" s="14"/>
      <c r="EZR11" s="14"/>
      <c r="FAM11" s="14"/>
      <c r="FBH11" s="14"/>
      <c r="FCC11" s="14"/>
      <c r="FCX11" s="14"/>
      <c r="FDS11" s="14"/>
      <c r="FEN11" s="14"/>
      <c r="FFI11" s="14"/>
      <c r="FGD11" s="14"/>
      <c r="FGY11" s="14"/>
      <c r="FHT11" s="14"/>
      <c r="FIO11" s="14"/>
      <c r="FJJ11" s="14"/>
      <c r="FKE11" s="14"/>
      <c r="FKZ11" s="14"/>
      <c r="FLU11" s="14"/>
      <c r="FMP11" s="14"/>
      <c r="FNK11" s="14"/>
      <c r="FOF11" s="14"/>
      <c r="FPA11" s="14"/>
      <c r="FPV11" s="14"/>
      <c r="FQQ11" s="14"/>
      <c r="FRL11" s="14"/>
      <c r="FSG11" s="14"/>
      <c r="FTB11" s="14"/>
      <c r="FTW11" s="14"/>
      <c r="FUR11" s="14"/>
      <c r="FVM11" s="14"/>
      <c r="FWH11" s="14"/>
      <c r="FXC11" s="14"/>
      <c r="FXX11" s="14"/>
      <c r="FYS11" s="14"/>
      <c r="FZN11" s="14"/>
      <c r="GAI11" s="14"/>
      <c r="GBD11" s="14"/>
      <c r="GBY11" s="14"/>
      <c r="GCT11" s="14"/>
      <c r="GDO11" s="14"/>
      <c r="GEJ11" s="14"/>
      <c r="GFE11" s="14"/>
      <c r="GFZ11" s="14"/>
      <c r="GGU11" s="14"/>
      <c r="GHP11" s="14"/>
      <c r="GIK11" s="14"/>
      <c r="GJF11" s="14"/>
      <c r="GKA11" s="14"/>
      <c r="GKV11" s="14"/>
      <c r="GLQ11" s="14"/>
      <c r="GML11" s="14"/>
      <c r="GNG11" s="14"/>
      <c r="GOB11" s="14"/>
      <c r="GOW11" s="14"/>
      <c r="GPR11" s="14"/>
      <c r="GQM11" s="14"/>
      <c r="GRH11" s="14"/>
      <c r="GSC11" s="14"/>
      <c r="GSX11" s="14"/>
      <c r="GTS11" s="14"/>
      <c r="GUN11" s="14"/>
      <c r="GVI11" s="14"/>
      <c r="GWD11" s="14"/>
      <c r="GWY11" s="14"/>
      <c r="GXT11" s="14"/>
      <c r="GYO11" s="14"/>
      <c r="GZJ11" s="14"/>
      <c r="HAE11" s="14"/>
      <c r="HAZ11" s="14"/>
      <c r="HBU11" s="14"/>
      <c r="HCP11" s="14"/>
      <c r="HDK11" s="14"/>
      <c r="HEF11" s="14"/>
      <c r="HFA11" s="14"/>
      <c r="HFV11" s="14"/>
      <c r="HGQ11" s="14"/>
      <c r="HHL11" s="14"/>
      <c r="HIG11" s="14"/>
      <c r="HJB11" s="14"/>
      <c r="HJW11" s="14"/>
      <c r="HKR11" s="14"/>
      <c r="HLM11" s="14"/>
      <c r="HMH11" s="14"/>
      <c r="HNC11" s="14"/>
      <c r="HNX11" s="14"/>
      <c r="HOS11" s="14"/>
      <c r="HPN11" s="14"/>
      <c r="HQI11" s="14"/>
      <c r="HRD11" s="14"/>
      <c r="HRY11" s="14"/>
      <c r="HST11" s="14"/>
      <c r="HTO11" s="14"/>
      <c r="HUJ11" s="14"/>
      <c r="HVE11" s="14"/>
      <c r="HVZ11" s="14"/>
      <c r="HWU11" s="14"/>
      <c r="HXP11" s="14"/>
      <c r="HYK11" s="14"/>
      <c r="HZF11" s="14"/>
      <c r="IAA11" s="14"/>
      <c r="IAV11" s="14"/>
      <c r="IBQ11" s="14"/>
      <c r="ICL11" s="14"/>
      <c r="IDG11" s="14"/>
      <c r="IEB11" s="14"/>
      <c r="IEW11" s="14"/>
      <c r="IFR11" s="14"/>
      <c r="IGM11" s="14"/>
      <c r="IHH11" s="14"/>
      <c r="IIC11" s="14"/>
      <c r="IIX11" s="14"/>
      <c r="IJS11" s="14"/>
      <c r="IKN11" s="14"/>
      <c r="ILI11" s="14"/>
      <c r="IMD11" s="14"/>
      <c r="IMY11" s="14"/>
      <c r="INT11" s="14"/>
      <c r="IOO11" s="14"/>
      <c r="IPJ11" s="14"/>
      <c r="IQE11" s="14"/>
      <c r="IQZ11" s="14"/>
      <c r="IRU11" s="14"/>
      <c r="ISP11" s="14"/>
      <c r="ITK11" s="14"/>
      <c r="IUF11" s="14"/>
      <c r="IVA11" s="14"/>
      <c r="IVV11" s="14"/>
      <c r="IWQ11" s="14"/>
      <c r="IXL11" s="14"/>
      <c r="IYG11" s="14"/>
      <c r="IZB11" s="14"/>
      <c r="IZW11" s="14"/>
      <c r="JAR11" s="14"/>
      <c r="JBM11" s="14"/>
      <c r="JCH11" s="14"/>
      <c r="JDC11" s="14"/>
      <c r="JDX11" s="14"/>
      <c r="JES11" s="14"/>
      <c r="JFN11" s="14"/>
      <c r="JGI11" s="14"/>
      <c r="JHD11" s="14"/>
      <c r="JHY11" s="14"/>
      <c r="JIT11" s="14"/>
      <c r="JJO11" s="14"/>
      <c r="JKJ11" s="14"/>
      <c r="JLE11" s="14"/>
      <c r="JLZ11" s="14"/>
      <c r="JMU11" s="14"/>
      <c r="JNP11" s="14"/>
      <c r="JOK11" s="14"/>
      <c r="JPF11" s="14"/>
      <c r="JQA11" s="14"/>
      <c r="JQV11" s="14"/>
      <c r="JRQ11" s="14"/>
      <c r="JSL11" s="14"/>
      <c r="JTG11" s="14"/>
      <c r="JUB11" s="14"/>
      <c r="JUW11" s="14"/>
      <c r="JVR11" s="14"/>
      <c r="JWM11" s="14"/>
      <c r="JXH11" s="14"/>
      <c r="JYC11" s="14"/>
      <c r="JYX11" s="14"/>
      <c r="JZS11" s="14"/>
      <c r="KAN11" s="14"/>
      <c r="KBI11" s="14"/>
      <c r="KCD11" s="14"/>
      <c r="KCY11" s="14"/>
      <c r="KDT11" s="14"/>
      <c r="KEO11" s="14"/>
      <c r="KFJ11" s="14"/>
      <c r="KGE11" s="14"/>
      <c r="KGZ11" s="14"/>
      <c r="KHU11" s="14"/>
      <c r="KIP11" s="14"/>
      <c r="KJK11" s="14"/>
      <c r="KKF11" s="14"/>
      <c r="KLA11" s="14"/>
      <c r="KLV11" s="14"/>
      <c r="KMQ11" s="14"/>
      <c r="KNL11" s="14"/>
      <c r="KOG11" s="14"/>
      <c r="KPB11" s="14"/>
      <c r="KPW11" s="14"/>
      <c r="KQR11" s="14"/>
      <c r="KRM11" s="14"/>
      <c r="KSH11" s="14"/>
      <c r="KTC11" s="14"/>
      <c r="KTX11" s="14"/>
      <c r="KUS11" s="14"/>
      <c r="KVN11" s="14"/>
      <c r="KWI11" s="14"/>
      <c r="KXD11" s="14"/>
      <c r="KXY11" s="14"/>
      <c r="KYT11" s="14"/>
      <c r="KZO11" s="14"/>
      <c r="LAJ11" s="14"/>
      <c r="LBE11" s="14"/>
      <c r="LBZ11" s="14"/>
      <c r="LCU11" s="14"/>
      <c r="LDP11" s="14"/>
      <c r="LEK11" s="14"/>
      <c r="LFF11" s="14"/>
      <c r="LGA11" s="14"/>
      <c r="LGV11" s="14"/>
      <c r="LHQ11" s="14"/>
      <c r="LIL11" s="14"/>
      <c r="LJG11" s="14"/>
      <c r="LKB11" s="14"/>
      <c r="LKW11" s="14"/>
      <c r="LLR11" s="14"/>
      <c r="LMM11" s="14"/>
      <c r="LNH11" s="14"/>
      <c r="LOC11" s="14"/>
      <c r="LOX11" s="14"/>
      <c r="LPS11" s="14"/>
      <c r="LQN11" s="14"/>
      <c r="LRI11" s="14"/>
      <c r="LSD11" s="14"/>
      <c r="LSY11" s="14"/>
      <c r="LTT11" s="14"/>
      <c r="LUO11" s="14"/>
      <c r="LVJ11" s="14"/>
      <c r="LWE11" s="14"/>
      <c r="LWZ11" s="14"/>
      <c r="LXU11" s="14"/>
      <c r="LYP11" s="14"/>
      <c r="LZK11" s="14"/>
      <c r="MAF11" s="14"/>
      <c r="MBA11" s="14"/>
      <c r="MBV11" s="14"/>
      <c r="MCQ11" s="14"/>
      <c r="MDL11" s="14"/>
      <c r="MEG11" s="14"/>
      <c r="MFB11" s="14"/>
      <c r="MFW11" s="14"/>
      <c r="MGR11" s="14"/>
      <c r="MHM11" s="14"/>
      <c r="MIH11" s="14"/>
      <c r="MJC11" s="14"/>
      <c r="MJX11" s="14"/>
      <c r="MKS11" s="14"/>
      <c r="MLN11" s="14"/>
      <c r="MMI11" s="14"/>
      <c r="MND11" s="14"/>
      <c r="MNY11" s="14"/>
      <c r="MOT11" s="14"/>
      <c r="MPO11" s="14"/>
      <c r="MQJ11" s="14"/>
      <c r="MRE11" s="14"/>
      <c r="MRZ11" s="14"/>
      <c r="MSU11" s="14"/>
      <c r="MTP11" s="14"/>
      <c r="MUK11" s="14"/>
      <c r="MVF11" s="14"/>
      <c r="MWA11" s="14"/>
      <c r="MWV11" s="14"/>
      <c r="MXQ11" s="14"/>
      <c r="MYL11" s="14"/>
      <c r="MZG11" s="14"/>
      <c r="NAB11" s="14"/>
      <c r="NAW11" s="14"/>
      <c r="NBR11" s="14"/>
      <c r="NCM11" s="14"/>
      <c r="NDH11" s="14"/>
      <c r="NEC11" s="14"/>
      <c r="NEX11" s="14"/>
      <c r="NFS11" s="14"/>
      <c r="NGN11" s="14"/>
      <c r="NHI11" s="14"/>
      <c r="NID11" s="14"/>
      <c r="NIY11" s="14"/>
      <c r="NJT11" s="14"/>
      <c r="NKO11" s="14"/>
      <c r="NLJ11" s="14"/>
      <c r="NME11" s="14"/>
      <c r="NMZ11" s="14"/>
      <c r="NNU11" s="14"/>
      <c r="NOP11" s="14"/>
      <c r="NPK11" s="14"/>
      <c r="NQF11" s="14"/>
      <c r="NRA11" s="14"/>
      <c r="NRV11" s="14"/>
      <c r="NSQ11" s="14"/>
      <c r="NTL11" s="14"/>
      <c r="NUG11" s="14"/>
      <c r="NVB11" s="14"/>
      <c r="NVW11" s="14"/>
      <c r="NWR11" s="14"/>
      <c r="NXM11" s="14"/>
      <c r="NYH11" s="14"/>
      <c r="NZC11" s="14"/>
      <c r="NZX11" s="14"/>
      <c r="OAS11" s="14"/>
      <c r="OBN11" s="14"/>
      <c r="OCI11" s="14"/>
      <c r="ODD11" s="14"/>
      <c r="ODY11" s="14"/>
      <c r="OET11" s="14"/>
      <c r="OFO11" s="14"/>
      <c r="OGJ11" s="14"/>
      <c r="OHE11" s="14"/>
      <c r="OHZ11" s="14"/>
      <c r="OIU11" s="14"/>
      <c r="OJP11" s="14"/>
      <c r="OKK11" s="14"/>
      <c r="OLF11" s="14"/>
      <c r="OMA11" s="14"/>
      <c r="OMV11" s="14"/>
      <c r="ONQ11" s="14"/>
      <c r="OOL11" s="14"/>
      <c r="OPG11" s="14"/>
      <c r="OQB11" s="14"/>
      <c r="OQW11" s="14"/>
      <c r="ORR11" s="14"/>
      <c r="OSM11" s="14"/>
      <c r="OTH11" s="14"/>
      <c r="OUC11" s="14"/>
      <c r="OUX11" s="14"/>
      <c r="OVS11" s="14"/>
      <c r="OWN11" s="14"/>
      <c r="OXI11" s="14"/>
      <c r="OYD11" s="14"/>
      <c r="OYY11" s="14"/>
      <c r="OZT11" s="14"/>
      <c r="PAO11" s="14"/>
      <c r="PBJ11" s="14"/>
      <c r="PCE11" s="14"/>
      <c r="PCZ11" s="14"/>
      <c r="PDU11" s="14"/>
      <c r="PEP11" s="14"/>
      <c r="PFK11" s="14"/>
      <c r="PGF11" s="14"/>
      <c r="PHA11" s="14"/>
      <c r="PHV11" s="14"/>
      <c r="PIQ11" s="14"/>
      <c r="PJL11" s="14"/>
      <c r="PKG11" s="14"/>
      <c r="PLB11" s="14"/>
      <c r="PLW11" s="14"/>
      <c r="PMR11" s="14"/>
      <c r="PNM11" s="14"/>
      <c r="POH11" s="14"/>
      <c r="PPC11" s="14"/>
      <c r="PPX11" s="14"/>
      <c r="PQS11" s="14"/>
      <c r="PRN11" s="14"/>
      <c r="PSI11" s="14"/>
      <c r="PTD11" s="14"/>
      <c r="PTY11" s="14"/>
      <c r="PUT11" s="14"/>
      <c r="PVO11" s="14"/>
      <c r="PWJ11" s="14"/>
      <c r="PXE11" s="14"/>
      <c r="PXZ11" s="14"/>
      <c r="PYU11" s="14"/>
      <c r="PZP11" s="14"/>
      <c r="QAK11" s="14"/>
      <c r="QBF11" s="14"/>
      <c r="QCA11" s="14"/>
      <c r="QCV11" s="14"/>
      <c r="QDQ11" s="14"/>
      <c r="QEL11" s="14"/>
      <c r="QFG11" s="14"/>
      <c r="QGB11" s="14"/>
      <c r="QGW11" s="14"/>
      <c r="QHR11" s="14"/>
      <c r="QIM11" s="14"/>
      <c r="QJH11" s="14"/>
      <c r="QKC11" s="14"/>
      <c r="QKX11" s="14"/>
      <c r="QLS11" s="14"/>
      <c r="QMN11" s="14"/>
      <c r="QNI11" s="14"/>
      <c r="QOD11" s="14"/>
      <c r="QOY11" s="14"/>
      <c r="QPT11" s="14"/>
      <c r="QQO11" s="14"/>
      <c r="QRJ11" s="14"/>
      <c r="QSE11" s="14"/>
      <c r="QSZ11" s="14"/>
      <c r="QTU11" s="14"/>
      <c r="QUP11" s="14"/>
      <c r="QVK11" s="14"/>
      <c r="QWF11" s="14"/>
      <c r="QXA11" s="14"/>
      <c r="QXV11" s="14"/>
      <c r="QYQ11" s="14"/>
      <c r="QZL11" s="14"/>
      <c r="RAG11" s="14"/>
      <c r="RBB11" s="14"/>
      <c r="RBW11" s="14"/>
      <c r="RCR11" s="14"/>
      <c r="RDM11" s="14"/>
      <c r="REH11" s="14"/>
      <c r="RFC11" s="14"/>
      <c r="RFX11" s="14"/>
      <c r="RGS11" s="14"/>
      <c r="RHN11" s="14"/>
      <c r="RII11" s="14"/>
      <c r="RJD11" s="14"/>
      <c r="RJY11" s="14"/>
      <c r="RKT11" s="14"/>
      <c r="RLO11" s="14"/>
      <c r="RMJ11" s="14"/>
      <c r="RNE11" s="14"/>
      <c r="RNZ11" s="14"/>
      <c r="ROU11" s="14"/>
      <c r="RPP11" s="14"/>
      <c r="RQK11" s="14"/>
      <c r="RRF11" s="14"/>
      <c r="RSA11" s="14"/>
      <c r="RSV11" s="14"/>
      <c r="RTQ11" s="14"/>
      <c r="RUL11" s="14"/>
      <c r="RVG11" s="14"/>
      <c r="RWB11" s="14"/>
      <c r="RWW11" s="14"/>
      <c r="RXR11" s="14"/>
      <c r="RYM11" s="14"/>
      <c r="RZH11" s="14"/>
      <c r="SAC11" s="14"/>
      <c r="SAX11" s="14"/>
      <c r="SBS11" s="14"/>
      <c r="SCN11" s="14"/>
      <c r="SDI11" s="14"/>
      <c r="SED11" s="14"/>
      <c r="SEY11" s="14"/>
      <c r="SFT11" s="14"/>
      <c r="SGO11" s="14"/>
      <c r="SHJ11" s="14"/>
      <c r="SIE11" s="14"/>
      <c r="SIZ11" s="14"/>
      <c r="SJU11" s="14"/>
      <c r="SKP11" s="14"/>
      <c r="SLK11" s="14"/>
      <c r="SMF11" s="14"/>
      <c r="SNA11" s="14"/>
      <c r="SNV11" s="14"/>
      <c r="SOQ11" s="14"/>
      <c r="SPL11" s="14"/>
      <c r="SQG11" s="14"/>
      <c r="SRB11" s="14"/>
      <c r="SRW11" s="14"/>
      <c r="SSR11" s="14"/>
      <c r="STM11" s="14"/>
      <c r="SUH11" s="14"/>
      <c r="SVC11" s="14"/>
      <c r="SVX11" s="14"/>
      <c r="SWS11" s="14"/>
      <c r="SXN11" s="14"/>
      <c r="SYI11" s="14"/>
      <c r="SZD11" s="14"/>
      <c r="SZY11" s="14"/>
      <c r="TAT11" s="14"/>
      <c r="TBO11" s="14"/>
      <c r="TCJ11" s="14"/>
      <c r="TDE11" s="14"/>
      <c r="TDZ11" s="14"/>
      <c r="TEU11" s="14"/>
      <c r="TFP11" s="14"/>
      <c r="TGK11" s="14"/>
      <c r="THF11" s="14"/>
      <c r="TIA11" s="14"/>
      <c r="TIV11" s="14"/>
      <c r="TJQ11" s="14"/>
      <c r="TKL11" s="14"/>
      <c r="TLG11" s="14"/>
      <c r="TMB11" s="14"/>
      <c r="TMW11" s="14"/>
      <c r="TNR11" s="14"/>
      <c r="TOM11" s="14"/>
      <c r="TPH11" s="14"/>
      <c r="TQC11" s="14"/>
      <c r="TQX11" s="14"/>
      <c r="TRS11" s="14"/>
      <c r="TSN11" s="14"/>
      <c r="TTI11" s="14"/>
      <c r="TUD11" s="14"/>
      <c r="TUY11" s="14"/>
      <c r="TVT11" s="14"/>
      <c r="TWO11" s="14"/>
      <c r="TXJ11" s="14"/>
      <c r="TYE11" s="14"/>
      <c r="TYZ11" s="14"/>
      <c r="TZU11" s="14"/>
      <c r="UAP11" s="14"/>
      <c r="UBK11" s="14"/>
      <c r="UCF11" s="14"/>
      <c r="UDA11" s="14"/>
      <c r="UDV11" s="14"/>
      <c r="UEQ11" s="14"/>
      <c r="UFL11" s="14"/>
      <c r="UGG11" s="14"/>
      <c r="UHB11" s="14"/>
      <c r="UHW11" s="14"/>
      <c r="UIR11" s="14"/>
      <c r="UJM11" s="14"/>
      <c r="UKH11" s="14"/>
      <c r="ULC11" s="14"/>
      <c r="ULX11" s="14"/>
      <c r="UMS11" s="14"/>
      <c r="UNN11" s="14"/>
      <c r="UOI11" s="14"/>
      <c r="UPD11" s="14"/>
      <c r="UPY11" s="14"/>
      <c r="UQT11" s="14"/>
      <c r="URO11" s="14"/>
      <c r="USJ11" s="14"/>
      <c r="UTE11" s="14"/>
      <c r="UTZ11" s="14"/>
      <c r="UUU11" s="14"/>
      <c r="UVP11" s="14"/>
      <c r="UWK11" s="14"/>
      <c r="UXF11" s="14"/>
      <c r="UYA11" s="14"/>
      <c r="UYV11" s="14"/>
      <c r="UZQ11" s="14"/>
      <c r="VAL11" s="14"/>
      <c r="VBG11" s="14"/>
      <c r="VCB11" s="14"/>
      <c r="VCW11" s="14"/>
      <c r="VDR11" s="14"/>
      <c r="VEM11" s="14"/>
      <c r="VFH11" s="14"/>
      <c r="VGC11" s="14"/>
      <c r="VGX11" s="14"/>
      <c r="VHS11" s="14"/>
      <c r="VIN11" s="14"/>
      <c r="VJI11" s="14"/>
      <c r="VKD11" s="14"/>
      <c r="VKY11" s="14"/>
      <c r="VLT11" s="14"/>
      <c r="VMO11" s="14"/>
      <c r="VNJ11" s="14"/>
      <c r="VOE11" s="14"/>
      <c r="VOZ11" s="14"/>
      <c r="VPU11" s="14"/>
      <c r="VQP11" s="14"/>
      <c r="VRK11" s="14"/>
      <c r="VSF11" s="14"/>
      <c r="VTA11" s="14"/>
      <c r="VTV11" s="14"/>
      <c r="VUQ11" s="14"/>
      <c r="VVL11" s="14"/>
      <c r="VWG11" s="14"/>
      <c r="VXB11" s="14"/>
      <c r="VXW11" s="14"/>
      <c r="VYR11" s="14"/>
      <c r="VZM11" s="14"/>
      <c r="WAH11" s="14"/>
      <c r="WBC11" s="14"/>
      <c r="WBX11" s="14"/>
      <c r="WCS11" s="14"/>
      <c r="WDN11" s="14"/>
      <c r="WEI11" s="14"/>
      <c r="WFD11" s="14"/>
      <c r="WFY11" s="14"/>
      <c r="WGT11" s="14"/>
      <c r="WHO11" s="14"/>
      <c r="WIJ11" s="14"/>
      <c r="WJE11" s="14"/>
      <c r="WJZ11" s="14"/>
      <c r="WKU11" s="14"/>
      <c r="WLP11" s="14"/>
      <c r="WMK11" s="14"/>
      <c r="WNF11" s="14"/>
      <c r="WOA11" s="14"/>
      <c r="WOV11" s="14"/>
      <c r="WPQ11" s="14"/>
      <c r="WQL11" s="14"/>
      <c r="WRG11" s="14"/>
      <c r="WSB11" s="14"/>
      <c r="WSW11" s="14"/>
      <c r="WTR11" s="14"/>
      <c r="WUM11" s="14"/>
      <c r="WVH11" s="14"/>
      <c r="WWC11" s="14"/>
      <c r="WWX11" s="14"/>
      <c r="WXS11" s="14"/>
      <c r="WYN11" s="14"/>
      <c r="WZI11" s="14"/>
      <c r="XAD11" s="14"/>
      <c r="XAY11" s="14"/>
      <c r="XBT11" s="14"/>
      <c r="XCO11" s="14"/>
      <c r="XDJ11" s="14"/>
      <c r="XEE11" s="14"/>
      <c r="XEZ11" s="14"/>
    </row>
    <row r="12" spans="1:1008 1029:2037 2058:3066 3087:4095 4116:5103 5124:6132 6153:7161 7182:8190 8211:9198 9219:10227 10248:11256 11277:12285 12306:13293 13314:14322 14343:15351 15372:16380" ht="15" customHeight="1" x14ac:dyDescent="0.3">
      <c r="A12" s="52"/>
      <c r="B12" s="53"/>
      <c r="C12" s="54"/>
      <c r="D12" s="54"/>
      <c r="E12" s="54"/>
      <c r="F12" s="54"/>
      <c r="G12" s="54"/>
      <c r="H12" s="54"/>
      <c r="I12" s="54"/>
      <c r="J12" s="54"/>
      <c r="K12" s="54"/>
      <c r="L12" s="54"/>
      <c r="M12" s="54"/>
      <c r="N12" s="54"/>
      <c r="O12" s="54"/>
      <c r="P12" s="54"/>
      <c r="Q12" s="54"/>
      <c r="R12" s="54"/>
      <c r="S12" s="54"/>
      <c r="T12" s="54"/>
      <c r="U12" s="54"/>
    </row>
    <row r="13" spans="1:1008 1029:2037 2058:3066 3087:4095 4116:5103 5124:6132 6153:7161 7182:8190 8211:9198 9219:10227 10248:11256 11277:12285 12306:13293 13314:14322 14343:15351 15372:16380" s="12" customFormat="1" ht="15.75" customHeight="1" x14ac:dyDescent="0.3">
      <c r="A13" s="44" t="s">
        <v>31</v>
      </c>
      <c r="B13" s="45"/>
      <c r="C13" s="45"/>
      <c r="D13" s="45"/>
      <c r="E13" s="45"/>
      <c r="F13" s="45"/>
      <c r="G13" s="45"/>
      <c r="H13" s="45"/>
      <c r="I13" s="45"/>
      <c r="J13" s="45"/>
      <c r="K13" s="45"/>
      <c r="L13" s="45"/>
      <c r="M13" s="45"/>
      <c r="N13" s="45"/>
      <c r="O13" s="45"/>
      <c r="P13" s="45"/>
      <c r="Q13" s="45"/>
      <c r="R13" s="45"/>
      <c r="S13" s="45"/>
      <c r="T13" s="45"/>
      <c r="U13" s="45"/>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row>
    <row r="14" spans="1:1008 1029:2037 2058:3066 3087:4095 4116:5103 5124:6132 6153:7161 7182:8190 8211:9198 9219:10227 10248:11256 11277:12285 12306:13293 13314:14322 14343:15351 15372:16380" ht="14.4" x14ac:dyDescent="0.3">
      <c r="A14" s="55" t="s">
        <v>32</v>
      </c>
      <c r="B14" s="56">
        <v>2500000</v>
      </c>
      <c r="C14" s="57">
        <f>(B14*0.02)+2500000</f>
        <v>2550000</v>
      </c>
      <c r="D14" s="57">
        <f>(C14*0.02)+2550000</f>
        <v>2601000</v>
      </c>
      <c r="E14" s="57">
        <f>(D14*0.02)+2601000</f>
        <v>2653020</v>
      </c>
      <c r="F14" s="57">
        <f>(E14*0.02)+2653020</f>
        <v>2706080.4</v>
      </c>
      <c r="G14" s="57">
        <f>(F14*0.02)+2706080.4</f>
        <v>2760202.0079999999</v>
      </c>
      <c r="H14" s="57">
        <f>(G14*0.02)+2760202.01</f>
        <v>2815406.0501599996</v>
      </c>
      <c r="I14" s="57">
        <f>(H14*0.02)+2815406.05</f>
        <v>2871714.1710031996</v>
      </c>
      <c r="J14" s="57">
        <f>(I14*0.02)+2871714.17</f>
        <v>2929148.4534200639</v>
      </c>
      <c r="K14" s="57">
        <f>(J14*0.02)+2929148.45</f>
        <v>2987731.4190684017</v>
      </c>
      <c r="L14" s="57">
        <f>(K14*0.02)+2987731.42</f>
        <v>3047486.0483813682</v>
      </c>
      <c r="M14" s="57">
        <f>(L14*0.02)+3047486.05</f>
        <v>3108435.7709676269</v>
      </c>
      <c r="N14" s="57">
        <f>(M14*0.02)+3108435.77</f>
        <v>3170604.4854193525</v>
      </c>
      <c r="O14" s="57">
        <f>(N14*0.02)+3170604.49</f>
        <v>3234016.5797083871</v>
      </c>
      <c r="P14" s="57">
        <f>(O14*0.02)+3234016.58</f>
        <v>3298696.9115941678</v>
      </c>
      <c r="Q14" s="57">
        <f>(P14*0.02)+3298696.91</f>
        <v>3364670.8482318837</v>
      </c>
      <c r="R14" s="57">
        <f>(Q14*0.02)+3364670.85</f>
        <v>3431964.2669646377</v>
      </c>
      <c r="S14" s="57">
        <f>(R14*0.02)+3431964.27</f>
        <v>3500603.5553392926</v>
      </c>
      <c r="T14" s="57">
        <f>(S14*0.02)+3500603.56</f>
        <v>3570615.631106786</v>
      </c>
      <c r="U14" s="57">
        <f>(T14*0.02)+3570615.63</f>
        <v>3642027.9426221354</v>
      </c>
    </row>
    <row r="15" spans="1:1008 1029:2037 2058:3066 3087:4095 4116:5103 5124:6132 6153:7161 7182:8190 8211:9198 9219:10227 10248:11256 11277:12285 12306:13293 13314:14322 14343:15351 15372:16380" ht="15.75" customHeight="1" x14ac:dyDescent="0.3">
      <c r="A15" s="55" t="s">
        <v>33</v>
      </c>
      <c r="B15" s="48">
        <v>1000000</v>
      </c>
      <c r="C15" s="48">
        <v>1040000</v>
      </c>
      <c r="D15" s="48">
        <v>1081600</v>
      </c>
      <c r="E15" s="48">
        <v>1124864</v>
      </c>
      <c r="F15" s="48">
        <v>1169858.5600000001</v>
      </c>
      <c r="G15" s="48">
        <v>1216652.8999999999</v>
      </c>
      <c r="H15" s="48">
        <v>1265319.02</v>
      </c>
      <c r="I15" s="48">
        <v>1315931.78</v>
      </c>
      <c r="J15" s="48">
        <v>1368569.05</v>
      </c>
      <c r="K15" s="48">
        <v>1423311.81</v>
      </c>
      <c r="L15" s="48">
        <v>1480244.28</v>
      </c>
      <c r="M15" s="48">
        <v>1539454.06</v>
      </c>
      <c r="N15" s="48">
        <v>1601032.22</v>
      </c>
      <c r="O15" s="48">
        <v>1665073.51</v>
      </c>
      <c r="P15" s="48">
        <v>1731676.45</v>
      </c>
      <c r="Q15" s="48">
        <v>1800943.51</v>
      </c>
      <c r="R15" s="48">
        <v>1872981.25</v>
      </c>
      <c r="S15" s="48">
        <v>1947900.5</v>
      </c>
      <c r="T15" s="48">
        <v>2025816.52</v>
      </c>
      <c r="U15" s="48">
        <v>2106849.1800000002</v>
      </c>
    </row>
    <row r="16" spans="1:1008 1029:2037 2058:3066 3087:4095 4116:5103 5124:6132 6153:7161 7182:8190 8211:9198 9219:10227 10248:11256 11277:12285 12306:13293 13314:14322 14343:15351 15372:16380" ht="14.4" x14ac:dyDescent="0.3">
      <c r="A16" s="69" t="s">
        <v>34</v>
      </c>
      <c r="B16" s="48">
        <v>2500000</v>
      </c>
      <c r="C16" s="48">
        <v>100000</v>
      </c>
      <c r="D16" s="48">
        <v>100000</v>
      </c>
      <c r="E16" s="48">
        <v>100000</v>
      </c>
      <c r="F16" s="48">
        <v>100000</v>
      </c>
      <c r="G16" s="48">
        <f>F16*(1+0.2)</f>
        <v>120000</v>
      </c>
      <c r="H16" s="48">
        <v>120000</v>
      </c>
      <c r="I16" s="48">
        <v>120000</v>
      </c>
      <c r="J16" s="48">
        <v>120000</v>
      </c>
      <c r="K16" s="48">
        <v>120000</v>
      </c>
      <c r="L16" s="48">
        <f>K16*(1+0.2)</f>
        <v>144000</v>
      </c>
      <c r="M16" s="48">
        <v>144000</v>
      </c>
      <c r="N16" s="48">
        <v>144000</v>
      </c>
      <c r="O16" s="48">
        <v>144000</v>
      </c>
      <c r="P16" s="48">
        <v>144000</v>
      </c>
      <c r="Q16" s="48">
        <f>P16*(1+0.2)</f>
        <v>172800</v>
      </c>
      <c r="R16" s="48">
        <v>172800</v>
      </c>
      <c r="S16" s="48">
        <v>172800</v>
      </c>
      <c r="T16" s="48">
        <v>172800</v>
      </c>
      <c r="U16" s="48">
        <v>172800</v>
      </c>
    </row>
    <row r="17" spans="1:144" ht="21.75" customHeight="1" x14ac:dyDescent="0.3">
      <c r="A17" s="55" t="s">
        <v>35</v>
      </c>
      <c r="B17" s="58">
        <v>10000000</v>
      </c>
      <c r="C17" s="59">
        <v>11250000</v>
      </c>
      <c r="D17" s="59">
        <v>12656250</v>
      </c>
      <c r="E17" s="59">
        <v>14238281.199999999</v>
      </c>
      <c r="F17" s="59">
        <v>16018066.4</v>
      </c>
      <c r="G17" s="59">
        <v>18020324.699999999</v>
      </c>
      <c r="H17" s="59">
        <v>20272865.300000001</v>
      </c>
      <c r="I17" s="59">
        <v>22806973.5</v>
      </c>
      <c r="J17" s="59">
        <v>25657845.100000001</v>
      </c>
      <c r="K17" s="59">
        <v>28865075.800000001</v>
      </c>
      <c r="L17" s="59">
        <v>32473210.300000001</v>
      </c>
      <c r="M17" s="59">
        <v>36532361.5</v>
      </c>
      <c r="N17" s="59">
        <v>41098906.700000003</v>
      </c>
      <c r="O17" s="59">
        <v>46236270.100000001</v>
      </c>
      <c r="P17" s="59">
        <v>52015803.799999997</v>
      </c>
      <c r="Q17" s="59">
        <v>58517779.299999997</v>
      </c>
      <c r="R17" s="59">
        <v>65832501.700000003</v>
      </c>
      <c r="S17" s="59">
        <v>74061564.400000006</v>
      </c>
      <c r="T17" s="59">
        <v>83319260</v>
      </c>
      <c r="U17" s="59">
        <v>93734167.5</v>
      </c>
    </row>
    <row r="18" spans="1:144" s="26" customFormat="1" ht="18.75" customHeight="1" x14ac:dyDescent="0.3">
      <c r="A18" s="55" t="s">
        <v>36</v>
      </c>
      <c r="B18" s="60">
        <v>5000000</v>
      </c>
      <c r="C18" s="59">
        <v>5300000</v>
      </c>
      <c r="D18" s="59">
        <v>5618000</v>
      </c>
      <c r="E18" s="59">
        <v>5955080</v>
      </c>
      <c r="F18" s="59">
        <v>6312384</v>
      </c>
      <c r="G18" s="59">
        <v>6691128</v>
      </c>
      <c r="H18" s="59">
        <v>7092596</v>
      </c>
      <c r="I18" s="59">
        <v>7518151</v>
      </c>
      <c r="J18" s="59">
        <v>7969240</v>
      </c>
      <c r="K18" s="59">
        <v>8447395</v>
      </c>
      <c r="L18" s="59">
        <v>8954238</v>
      </c>
      <c r="M18" s="59">
        <v>9491493</v>
      </c>
      <c r="N18" s="59">
        <v>10060982</v>
      </c>
      <c r="O18" s="59">
        <v>10664641</v>
      </c>
      <c r="P18" s="59">
        <v>11304520</v>
      </c>
      <c r="Q18" s="59">
        <v>11982791</v>
      </c>
      <c r="R18" s="59">
        <v>12701758</v>
      </c>
      <c r="S18" s="59">
        <v>13463864</v>
      </c>
      <c r="T18" s="59">
        <v>14271696</v>
      </c>
      <c r="U18" s="59">
        <v>15127998</v>
      </c>
    </row>
    <row r="19" spans="1:144" ht="23.25" customHeight="1" x14ac:dyDescent="0.3">
      <c r="A19" s="55" t="s">
        <v>37</v>
      </c>
      <c r="B19" s="60">
        <v>1450000</v>
      </c>
      <c r="C19" s="59">
        <v>1481500</v>
      </c>
      <c r="D19" s="59">
        <v>1513705</v>
      </c>
      <c r="E19" s="59">
        <v>1546631</v>
      </c>
      <c r="F19" s="59">
        <v>1580295</v>
      </c>
      <c r="G19" s="59">
        <v>1614714</v>
      </c>
      <c r="H19" s="59">
        <v>1649908</v>
      </c>
      <c r="I19" s="59">
        <v>1685893</v>
      </c>
      <c r="J19" s="59">
        <v>1722684</v>
      </c>
      <c r="K19" s="59">
        <v>1760304</v>
      </c>
      <c r="L19" s="59">
        <v>1798773</v>
      </c>
      <c r="M19" s="59">
        <v>1838107</v>
      </c>
      <c r="N19" s="59">
        <v>1878329</v>
      </c>
      <c r="O19" s="59">
        <v>1919459</v>
      </c>
      <c r="P19" s="59">
        <v>1961520</v>
      </c>
      <c r="Q19" s="59">
        <v>2004530</v>
      </c>
      <c r="R19" s="59">
        <v>2048516</v>
      </c>
      <c r="S19" s="59">
        <v>2093497</v>
      </c>
      <c r="T19" s="59">
        <v>2139498</v>
      </c>
      <c r="U19" s="59">
        <v>2186545</v>
      </c>
    </row>
    <row r="20" spans="1:144" ht="14.4" x14ac:dyDescent="0.3">
      <c r="A20" s="55" t="s">
        <v>38</v>
      </c>
      <c r="B20" s="58">
        <v>5000000</v>
      </c>
      <c r="C20" s="61">
        <v>5200000</v>
      </c>
      <c r="D20" s="61">
        <v>5408000</v>
      </c>
      <c r="E20" s="61">
        <v>5624320</v>
      </c>
      <c r="F20" s="61">
        <v>5849292</v>
      </c>
      <c r="G20" s="61">
        <v>6083264</v>
      </c>
      <c r="H20" s="61">
        <v>6326595</v>
      </c>
      <c r="I20" s="61">
        <v>6579658</v>
      </c>
      <c r="J20" s="61">
        <v>6842845</v>
      </c>
      <c r="K20" s="61">
        <v>7116559</v>
      </c>
      <c r="L20" s="61">
        <v>7401221</v>
      </c>
      <c r="M20" s="61">
        <v>7697270</v>
      </c>
      <c r="N20" s="61">
        <v>8005161</v>
      </c>
      <c r="O20" s="61">
        <v>8325367</v>
      </c>
      <c r="P20" s="61">
        <v>8658382</v>
      </c>
      <c r="Q20" s="61">
        <v>9004717</v>
      </c>
      <c r="R20" s="61">
        <v>9364906</v>
      </c>
      <c r="S20" s="61">
        <v>9739502</v>
      </c>
      <c r="T20" s="61">
        <v>10129082</v>
      </c>
      <c r="U20" s="61">
        <v>10534245</v>
      </c>
    </row>
    <row r="21" spans="1:144" ht="14.4" x14ac:dyDescent="0.3">
      <c r="A21" s="69" t="s">
        <v>39</v>
      </c>
      <c r="B21" s="58">
        <v>8000000</v>
      </c>
      <c r="C21" s="62">
        <v>8400000</v>
      </c>
      <c r="D21" s="62">
        <v>8820000</v>
      </c>
      <c r="E21" s="62">
        <v>9261000</v>
      </c>
      <c r="F21" s="62">
        <v>9724050</v>
      </c>
      <c r="G21" s="62">
        <v>10210252</v>
      </c>
      <c r="H21" s="62">
        <v>10720765</v>
      </c>
      <c r="I21" s="62">
        <v>11256803</v>
      </c>
      <c r="J21" s="62">
        <v>11819643</v>
      </c>
      <c r="K21" s="62">
        <v>12410625</v>
      </c>
      <c r="L21" s="62">
        <v>13031157</v>
      </c>
      <c r="M21" s="62">
        <v>13682714</v>
      </c>
      <c r="N21" s="62">
        <v>14366850</v>
      </c>
      <c r="O21" s="62">
        <v>15085193</v>
      </c>
      <c r="P21" s="62">
        <v>15839452</v>
      </c>
      <c r="Q21" s="62">
        <v>16631425</v>
      </c>
      <c r="R21" s="62">
        <v>17462996</v>
      </c>
      <c r="S21" s="62">
        <v>18336146</v>
      </c>
      <c r="T21" s="62">
        <v>19252953</v>
      </c>
      <c r="U21" s="62">
        <v>20215601</v>
      </c>
    </row>
    <row r="22" spans="1:144" ht="14.4" x14ac:dyDescent="0.3">
      <c r="A22" s="55" t="s">
        <v>40</v>
      </c>
      <c r="B22" s="48">
        <v>3326677.6</v>
      </c>
      <c r="C22" s="48">
        <v>3426477.93</v>
      </c>
      <c r="D22" s="48">
        <v>3529272.27</v>
      </c>
      <c r="E22" s="48">
        <v>3635150.43</v>
      </c>
      <c r="F22" s="48">
        <v>3744204.95</v>
      </c>
      <c r="G22" s="48">
        <v>3856531.1</v>
      </c>
      <c r="H22" s="48">
        <v>3972227.03</v>
      </c>
      <c r="I22" s="48">
        <v>4091393.84</v>
      </c>
      <c r="J22" s="48">
        <v>4214135.6500000004</v>
      </c>
      <c r="K22" s="48">
        <v>4340559.72</v>
      </c>
      <c r="L22" s="48">
        <v>3968473.65</v>
      </c>
      <c r="M22" s="48">
        <v>4127212.59</v>
      </c>
      <c r="N22" s="48">
        <v>4292301.0999999996</v>
      </c>
      <c r="O22" s="48">
        <v>4463993.1399999997</v>
      </c>
      <c r="P22" s="48">
        <v>4642552.8600000003</v>
      </c>
      <c r="Q22" s="48">
        <v>4828254.9800000004</v>
      </c>
      <c r="R22" s="48">
        <v>5021385.18</v>
      </c>
      <c r="S22" s="48">
        <v>5222240.59</v>
      </c>
      <c r="T22" s="48">
        <v>5431130.21</v>
      </c>
      <c r="U22" s="48">
        <v>5648375.4199999999</v>
      </c>
    </row>
    <row r="23" spans="1:144" ht="14.4" x14ac:dyDescent="0.3">
      <c r="A23" s="55" t="s">
        <v>41</v>
      </c>
      <c r="B23" s="58">
        <v>6000000</v>
      </c>
      <c r="C23" s="63">
        <v>6180000</v>
      </c>
      <c r="D23" s="63">
        <v>6365400</v>
      </c>
      <c r="E23" s="63">
        <v>6556362</v>
      </c>
      <c r="F23" s="63">
        <v>6753053</v>
      </c>
      <c r="G23" s="63">
        <v>6955644</v>
      </c>
      <c r="H23" s="63">
        <v>7164314</v>
      </c>
      <c r="I23" s="63">
        <v>7379243</v>
      </c>
      <c r="J23" s="63">
        <v>7600620</v>
      </c>
      <c r="K23" s="63">
        <v>7828639</v>
      </c>
      <c r="L23" s="63">
        <v>8063498</v>
      </c>
      <c r="M23" s="63">
        <v>8305403</v>
      </c>
      <c r="N23" s="63">
        <v>8554565</v>
      </c>
      <c r="O23" s="63">
        <v>8811202</v>
      </c>
      <c r="P23" s="63">
        <v>9075538</v>
      </c>
      <c r="Q23" s="63">
        <v>9347804</v>
      </c>
      <c r="R23" s="63">
        <v>9628239</v>
      </c>
      <c r="S23" s="63">
        <v>9917086</v>
      </c>
      <c r="T23" s="63">
        <v>10214598</v>
      </c>
      <c r="U23" s="63">
        <v>10521036</v>
      </c>
    </row>
    <row r="24" spans="1:144" ht="14.4" x14ac:dyDescent="0.3">
      <c r="A24" s="55" t="s">
        <v>42</v>
      </c>
      <c r="B24" s="58">
        <v>2000000</v>
      </c>
      <c r="C24" s="58">
        <v>2044000</v>
      </c>
      <c r="D24" s="58">
        <v>2089240</v>
      </c>
      <c r="E24" s="59">
        <v>2135755</v>
      </c>
      <c r="F24" s="59">
        <v>2183580</v>
      </c>
      <c r="G24" s="59">
        <v>2232754</v>
      </c>
      <c r="H24" s="59">
        <v>2283313</v>
      </c>
      <c r="I24" s="59">
        <v>2335308</v>
      </c>
      <c r="J24" s="59">
        <v>2388773</v>
      </c>
      <c r="K24" s="59">
        <v>2443750</v>
      </c>
      <c r="L24" s="59">
        <v>2500282</v>
      </c>
      <c r="M24" s="59">
        <v>2558415</v>
      </c>
      <c r="N24" s="59">
        <v>2618194</v>
      </c>
      <c r="O24" s="59">
        <v>2679666</v>
      </c>
      <c r="P24" s="59">
        <v>2742882</v>
      </c>
      <c r="Q24" s="59">
        <v>2807890</v>
      </c>
      <c r="R24" s="59">
        <v>2874743</v>
      </c>
      <c r="S24" s="59">
        <v>2943494</v>
      </c>
      <c r="T24" s="59">
        <v>3014197</v>
      </c>
      <c r="U24" s="59">
        <v>3086909</v>
      </c>
    </row>
    <row r="25" spans="1:144" ht="14.4" x14ac:dyDescent="0.3">
      <c r="A25" s="55" t="s">
        <v>43</v>
      </c>
      <c r="B25" s="62">
        <f t="shared" ref="B25:U25" si="1">253000000*0.045</f>
        <v>11385000</v>
      </c>
      <c r="C25" s="62">
        <f t="shared" si="1"/>
        <v>11385000</v>
      </c>
      <c r="D25" s="62">
        <f t="shared" si="1"/>
        <v>11385000</v>
      </c>
      <c r="E25" s="62">
        <f t="shared" si="1"/>
        <v>11385000</v>
      </c>
      <c r="F25" s="62">
        <f t="shared" si="1"/>
        <v>11385000</v>
      </c>
      <c r="G25" s="62">
        <f t="shared" si="1"/>
        <v>11385000</v>
      </c>
      <c r="H25" s="62">
        <f t="shared" si="1"/>
        <v>11385000</v>
      </c>
      <c r="I25" s="62">
        <f t="shared" si="1"/>
        <v>11385000</v>
      </c>
      <c r="J25" s="62">
        <f t="shared" si="1"/>
        <v>11385000</v>
      </c>
      <c r="K25" s="62">
        <f t="shared" si="1"/>
        <v>11385000</v>
      </c>
      <c r="L25" s="62">
        <f t="shared" si="1"/>
        <v>11385000</v>
      </c>
      <c r="M25" s="62">
        <f t="shared" si="1"/>
        <v>11385000</v>
      </c>
      <c r="N25" s="62">
        <f t="shared" si="1"/>
        <v>11385000</v>
      </c>
      <c r="O25" s="62">
        <f t="shared" si="1"/>
        <v>11385000</v>
      </c>
      <c r="P25" s="62">
        <f t="shared" si="1"/>
        <v>11385000</v>
      </c>
      <c r="Q25" s="62">
        <f t="shared" si="1"/>
        <v>11385000</v>
      </c>
      <c r="R25" s="62">
        <f t="shared" si="1"/>
        <v>11385000</v>
      </c>
      <c r="S25" s="62">
        <f t="shared" si="1"/>
        <v>11385000</v>
      </c>
      <c r="T25" s="62">
        <f t="shared" si="1"/>
        <v>11385000</v>
      </c>
      <c r="U25" s="62">
        <f t="shared" si="1"/>
        <v>11385000</v>
      </c>
    </row>
    <row r="26" spans="1:144" ht="14.4" x14ac:dyDescent="0.3">
      <c r="A26" s="55"/>
      <c r="B26" s="64">
        <f t="shared" ref="B26:U26" si="2">SUM(B14:B25)</f>
        <v>58161677.600000001</v>
      </c>
      <c r="C26" s="64">
        <f t="shared" si="2"/>
        <v>58356977.93</v>
      </c>
      <c r="D26" s="64">
        <f t="shared" si="2"/>
        <v>61167467.270000003</v>
      </c>
      <c r="E26" s="64">
        <f t="shared" si="2"/>
        <v>64215463.630000003</v>
      </c>
      <c r="F26" s="64">
        <f t="shared" si="2"/>
        <v>67525864.310000002</v>
      </c>
      <c r="G26" s="64">
        <f t="shared" si="2"/>
        <v>71146466.708000004</v>
      </c>
      <c r="H26" s="64">
        <f t="shared" si="2"/>
        <v>75068308.40016</v>
      </c>
      <c r="I26" s="64">
        <f t="shared" si="2"/>
        <v>79346069.291003197</v>
      </c>
      <c r="J26" s="64">
        <f t="shared" si="2"/>
        <v>84018503.253420055</v>
      </c>
      <c r="K26" s="64">
        <f t="shared" si="2"/>
        <v>89128950.749068409</v>
      </c>
      <c r="L26" s="64">
        <f t="shared" si="2"/>
        <v>94247583.278381377</v>
      </c>
      <c r="M26" s="64">
        <f t="shared" si="2"/>
        <v>100409865.92096764</v>
      </c>
      <c r="N26" s="64">
        <f t="shared" si="2"/>
        <v>107175925.50541934</v>
      </c>
      <c r="O26" s="64">
        <f t="shared" si="2"/>
        <v>114613881.32970838</v>
      </c>
      <c r="P26" s="64">
        <f t="shared" si="2"/>
        <v>122800024.02159417</v>
      </c>
      <c r="Q26" s="64">
        <f t="shared" si="2"/>
        <v>131848605.63823189</v>
      </c>
      <c r="R26" s="64">
        <f t="shared" si="2"/>
        <v>141797790.39696464</v>
      </c>
      <c r="S26" s="64">
        <f t="shared" si="2"/>
        <v>152783698.04533929</v>
      </c>
      <c r="T26" s="64">
        <f t="shared" si="2"/>
        <v>164926646.36110678</v>
      </c>
      <c r="U26" s="64">
        <f t="shared" si="2"/>
        <v>178361554.04262212</v>
      </c>
    </row>
    <row r="27" spans="1:144" s="12" customFormat="1" ht="15.75" customHeight="1" x14ac:dyDescent="0.3">
      <c r="A27" s="44" t="s">
        <v>44</v>
      </c>
      <c r="B27" s="45"/>
      <c r="C27" s="45"/>
      <c r="D27" s="45"/>
      <c r="E27" s="45"/>
      <c r="F27" s="45"/>
      <c r="G27" s="45"/>
      <c r="H27" s="45"/>
      <c r="I27" s="45"/>
      <c r="J27" s="45"/>
      <c r="K27" s="45"/>
      <c r="L27" s="45"/>
      <c r="M27" s="45"/>
      <c r="N27" s="45"/>
      <c r="O27" s="45"/>
      <c r="P27" s="45"/>
      <c r="Q27" s="45"/>
      <c r="R27" s="45"/>
      <c r="S27" s="45"/>
      <c r="T27" s="45"/>
      <c r="U27" s="45"/>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row>
    <row r="28" spans="1:144" s="21" customFormat="1" ht="15.75" hidden="1" customHeight="1" x14ac:dyDescent="0.3">
      <c r="A28" s="65" t="s">
        <v>45</v>
      </c>
      <c r="B28" s="66">
        <v>1200000</v>
      </c>
      <c r="C28" s="67"/>
      <c r="D28" s="67"/>
      <c r="E28" s="67"/>
      <c r="F28" s="67"/>
      <c r="G28" s="67"/>
      <c r="H28" s="67"/>
      <c r="I28" s="67"/>
      <c r="J28" s="67"/>
      <c r="K28" s="67"/>
      <c r="L28" s="67"/>
      <c r="M28" s="67"/>
      <c r="N28" s="67"/>
      <c r="O28" s="67"/>
      <c r="P28" s="67"/>
      <c r="Q28" s="67"/>
      <c r="R28" s="67"/>
      <c r="S28" s="67"/>
      <c r="T28" s="67"/>
      <c r="U28" s="67"/>
    </row>
    <row r="29" spans="1:144" ht="14.4" x14ac:dyDescent="0.3">
      <c r="A29" s="55" t="s">
        <v>46</v>
      </c>
      <c r="B29" s="59">
        <f>20100000*0.5*0.55</f>
        <v>5527500</v>
      </c>
      <c r="C29" s="59">
        <f>(20100000-B29)*0.55</f>
        <v>8014875.0000000009</v>
      </c>
      <c r="D29" s="59">
        <f>(20100000-SUM($B29:C29))*0.55</f>
        <v>3606693.7500000005</v>
      </c>
      <c r="E29" s="59">
        <f>(20100000-SUM($B29:D29))*0.55</f>
        <v>1623012.1875000002</v>
      </c>
      <c r="F29" s="59">
        <f>(20100000-SUM($B29:E29))*0.55</f>
        <v>730355.48437500012</v>
      </c>
      <c r="G29" s="59">
        <f>20697563.6*0.5*0.55</f>
        <v>5691829.9900000012</v>
      </c>
      <c r="H29" s="59">
        <f>(20697563.6-G29)*0.55</f>
        <v>8253153.4855000004</v>
      </c>
      <c r="I29" s="59">
        <f>(20697563.6-SUM($G29:H29))*0.55</f>
        <v>3713919.0684749996</v>
      </c>
      <c r="J29" s="59">
        <f>(20697563.6-SUM($G29:I29))*0.55</f>
        <v>1671263.5808137492</v>
      </c>
      <c r="K29" s="59">
        <f>(20697563.6-SUM($G29:J29))*0.55</f>
        <v>752068.61136618641</v>
      </c>
      <c r="L29" s="59">
        <f>(20715328.8*0.5*0.55)</f>
        <v>5696715.4200000009</v>
      </c>
      <c r="M29" s="59">
        <f>(20715328.8-L29)*0.55</f>
        <v>8260237.3590000002</v>
      </c>
      <c r="N29" s="59">
        <f>(20715328.8-SUM($L29:M29))*0.55</f>
        <v>3717106.8115500002</v>
      </c>
      <c r="O29" s="59">
        <f>(20715328.8-SUM($L29:N29))*0.55</f>
        <v>1672698.0651974997</v>
      </c>
      <c r="P29" s="59">
        <f>(20715328.8-SUM($L29:O29))*0.55</f>
        <v>752714.12933887378</v>
      </c>
      <c r="Q29" s="59">
        <f>(20715857*0.5*0.55)</f>
        <v>5696860.6750000007</v>
      </c>
      <c r="R29" s="59">
        <f>(20715857-Q29)*0.55</f>
        <v>8260447.9787500007</v>
      </c>
      <c r="S29" s="59">
        <f>(20715857-SUM(Q29:R29))*0.55</f>
        <v>3717201.5904374989</v>
      </c>
      <c r="T29" s="59">
        <f>(20715857-SUM(Q29:S29))*0.55</f>
        <v>1672740.715696875</v>
      </c>
      <c r="U29" s="59">
        <f>(20715857-SUM(Q29:T29))*0.55</f>
        <v>752733.32206359366</v>
      </c>
    </row>
    <row r="30" spans="1:144" ht="14.4" x14ac:dyDescent="0.3">
      <c r="A30" s="55" t="s">
        <v>47</v>
      </c>
      <c r="B30" s="77">
        <f>4209000*30%</f>
        <v>1262700</v>
      </c>
      <c r="C30" s="58">
        <f>B30*(1-30%)</f>
        <v>883890</v>
      </c>
      <c r="D30" s="58">
        <f>C30*(1-30%)</f>
        <v>618723</v>
      </c>
      <c r="E30" s="58">
        <f>D30*(1-30%)</f>
        <v>433106.1</v>
      </c>
      <c r="F30" s="58">
        <f>E30*(1-30%)</f>
        <v>303174.26999999996</v>
      </c>
      <c r="G30" s="58">
        <f>F30*(1-30%)</f>
        <v>212221.98899999997</v>
      </c>
      <c r="H30" s="72">
        <f>4704184.64 *30%</f>
        <v>1411255.3919999998</v>
      </c>
      <c r="I30" s="58">
        <f>H30*(1-30%)</f>
        <v>987878.77439999976</v>
      </c>
      <c r="J30" s="58">
        <f>I30*(1-30%)</f>
        <v>691515.14207999979</v>
      </c>
      <c r="K30" s="58">
        <f>J30*(1-30%)</f>
        <v>484060.59945599979</v>
      </c>
      <c r="L30" s="58">
        <f>K30*(1-30%)</f>
        <v>338842.41961919982</v>
      </c>
      <c r="M30" s="58">
        <f>L30*(1-30%)</f>
        <v>237189.69373343987</v>
      </c>
      <c r="N30" s="58">
        <f>5257627.26 *30%</f>
        <v>1577288.1779999998</v>
      </c>
      <c r="O30" s="58">
        <f>N30*(1-30%)</f>
        <v>1104101.7245999998</v>
      </c>
      <c r="P30" s="58">
        <f>O30*(1-30%)</f>
        <v>772871.20721999987</v>
      </c>
      <c r="Q30" s="58">
        <f>P30*(1-30%)</f>
        <v>541009.84505399992</v>
      </c>
      <c r="R30" s="58">
        <f>Q30*(1-30%)</f>
        <v>378706.89153779991</v>
      </c>
      <c r="S30" s="58">
        <f>R30*(1-30%)</f>
        <v>265094.82407645992</v>
      </c>
      <c r="T30" s="58">
        <f>5876181.85 *30%</f>
        <v>1762854.5549999999</v>
      </c>
      <c r="U30" s="58">
        <f>T30*(1-30%)</f>
        <v>1233998.1884999999</v>
      </c>
    </row>
    <row r="31" spans="1:144" ht="30.75" customHeight="1" x14ac:dyDescent="0.3">
      <c r="A31" s="55" t="s">
        <v>48</v>
      </c>
      <c r="B31" s="59">
        <f>6700000*0.5*0.55</f>
        <v>1842500.0000000002</v>
      </c>
      <c r="C31" s="59">
        <f>(6700000-B31)*0.55</f>
        <v>2671625</v>
      </c>
      <c r="D31" s="59">
        <f>(6700000-SUM($B31:C31))*0.55</f>
        <v>1202231.25</v>
      </c>
      <c r="E31" s="59">
        <f>(6700000-SUM($B31:D31))*0.55</f>
        <v>541004.0625</v>
      </c>
      <c r="F31" s="59">
        <f>(6700000-SUM($B31:E31))*0.55</f>
        <v>243451.82812500003</v>
      </c>
      <c r="G31" s="59">
        <f>6899188*0.5*0.55</f>
        <v>1897276.7000000002</v>
      </c>
      <c r="H31" s="59">
        <f>(6899188-G31)*0.55</f>
        <v>2751051.2150000003</v>
      </c>
      <c r="I31" s="59">
        <f>(6899188-SUM($G31:H31))*0.55</f>
        <v>1237973.0467499995</v>
      </c>
      <c r="J31" s="59">
        <f>(6899188-SUM($G31:I31))*0.55</f>
        <v>557087.87103749963</v>
      </c>
      <c r="K31" s="59">
        <f>(6899188-SUM($G31:J31))*0.55</f>
        <v>250689.54196687465</v>
      </c>
      <c r="L31" s="59">
        <f>6905109.63*0.5*0.55</f>
        <v>1898905.1482500001</v>
      </c>
      <c r="M31" s="59">
        <f>(6905109.63-L31)*0.55</f>
        <v>2753412.4649625001</v>
      </c>
      <c r="N31" s="59">
        <f>(6905109.63-SUM($L31:M31))*0.55</f>
        <v>1239035.6092331251</v>
      </c>
      <c r="O31" s="59">
        <f>(6905109.63-SUM($L31:N31))*0.55</f>
        <v>557566.02415490628</v>
      </c>
      <c r="P31" s="59">
        <f>(6905109.63-SUM($L31:O31))*0.55</f>
        <v>250904.71086970789</v>
      </c>
      <c r="Q31" s="59">
        <f>6905285.67*0.5*0.55</f>
        <v>1898953.5592500002</v>
      </c>
      <c r="R31" s="59">
        <f>(6905285.67-Q31)*0.55</f>
        <v>2753482.6609125002</v>
      </c>
      <c r="S31" s="59">
        <f>(6905285.67-SUM($Q31:R31))*0.55</f>
        <v>1239067.1974106247</v>
      </c>
      <c r="T31" s="59">
        <f>(6905285.67-SUM($Q31:S31))*0.55</f>
        <v>557580.23883478122</v>
      </c>
      <c r="U31" s="59">
        <f>(6905285.67-SUM($Q31:T31))*0.55</f>
        <v>250911.10747565131</v>
      </c>
    </row>
    <row r="32" spans="1:144" ht="14.4" x14ac:dyDescent="0.3">
      <c r="A32" s="55" t="s">
        <v>49</v>
      </c>
      <c r="B32" s="62">
        <f>4020000*10%</f>
        <v>402000</v>
      </c>
      <c r="C32" s="59">
        <f>B32*(1-20%)</f>
        <v>321600</v>
      </c>
      <c r="D32" s="59">
        <f t="shared" ref="D32:U32" si="3">C32*(1-20%)</f>
        <v>257280</v>
      </c>
      <c r="E32" s="59">
        <f t="shared" si="3"/>
        <v>205824</v>
      </c>
      <c r="F32" s="59">
        <f t="shared" si="3"/>
        <v>164659.20000000001</v>
      </c>
      <c r="G32" s="59">
        <f t="shared" si="3"/>
        <v>131727.36000000002</v>
      </c>
      <c r="H32" s="59">
        <f t="shared" si="3"/>
        <v>105381.88800000002</v>
      </c>
      <c r="I32" s="59">
        <f t="shared" si="3"/>
        <v>84305.510400000028</v>
      </c>
      <c r="J32" s="59">
        <f t="shared" si="3"/>
        <v>67444.408320000031</v>
      </c>
      <c r="K32" s="59">
        <f t="shared" si="3"/>
        <v>53955.526656000031</v>
      </c>
      <c r="L32" s="59">
        <f t="shared" si="3"/>
        <v>43164.421324800031</v>
      </c>
      <c r="M32" s="59">
        <f t="shared" si="3"/>
        <v>34531.537059840026</v>
      </c>
      <c r="N32" s="59">
        <f t="shared" si="3"/>
        <v>27625.229647872024</v>
      </c>
      <c r="O32" s="59">
        <f t="shared" si="3"/>
        <v>22100.18371829762</v>
      </c>
      <c r="P32" s="59">
        <f t="shared" si="3"/>
        <v>17680.146974638097</v>
      </c>
      <c r="Q32" s="59">
        <f t="shared" si="3"/>
        <v>14144.117579710479</v>
      </c>
      <c r="R32" s="59">
        <f t="shared" si="3"/>
        <v>11315.294063768384</v>
      </c>
      <c r="S32" s="59">
        <f t="shared" si="3"/>
        <v>9052.2352510147084</v>
      </c>
      <c r="T32" s="59">
        <f t="shared" si="3"/>
        <v>7241.7882008117667</v>
      </c>
      <c r="U32" s="59">
        <f t="shared" si="3"/>
        <v>5793.4305606494136</v>
      </c>
    </row>
    <row r="33" spans="1:144" s="12" customFormat="1" ht="15.75" customHeight="1" x14ac:dyDescent="0.3">
      <c r="A33" s="44" t="s">
        <v>50</v>
      </c>
      <c r="B33" s="64"/>
      <c r="C33" s="45"/>
      <c r="D33" s="45"/>
      <c r="E33" s="45"/>
      <c r="F33" s="45"/>
      <c r="G33" s="45"/>
      <c r="H33" s="45"/>
      <c r="I33" s="45"/>
      <c r="J33" s="45"/>
      <c r="K33" s="45"/>
      <c r="L33" s="45"/>
      <c r="M33" s="45"/>
      <c r="N33" s="45"/>
      <c r="O33" s="45"/>
      <c r="P33" s="45"/>
      <c r="Q33" s="45"/>
      <c r="R33" s="45"/>
      <c r="S33" s="45"/>
      <c r="T33" s="45"/>
      <c r="U33" s="45"/>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row>
    <row r="34" spans="1:144" ht="14.4" x14ac:dyDescent="0.3">
      <c r="A34" s="52" t="s">
        <v>51</v>
      </c>
      <c r="B34" s="58">
        <f>SUM(B29:B32)*0.1</f>
        <v>903470</v>
      </c>
      <c r="C34" s="58">
        <f t="shared" ref="C34:U34" si="4">SUM(C29:C32)*0.1</f>
        <v>1189199</v>
      </c>
      <c r="D34" s="58">
        <f t="shared" si="4"/>
        <v>568492.80000000005</v>
      </c>
      <c r="E34" s="58">
        <f t="shared" si="4"/>
        <v>280294.63500000001</v>
      </c>
      <c r="F34" s="58">
        <f t="shared" si="4"/>
        <v>144164.07824999999</v>
      </c>
      <c r="G34" s="58">
        <f t="shared" si="4"/>
        <v>793305.60390000022</v>
      </c>
      <c r="H34" s="58">
        <f t="shared" si="4"/>
        <v>1252084.19805</v>
      </c>
      <c r="I34" s="58">
        <f t="shared" si="4"/>
        <v>602407.64000249992</v>
      </c>
      <c r="J34" s="58">
        <f t="shared" si="4"/>
        <v>298731.10022512486</v>
      </c>
      <c r="K34" s="58">
        <f t="shared" si="4"/>
        <v>154077.42794450608</v>
      </c>
      <c r="L34" s="58">
        <f t="shared" si="4"/>
        <v>797762.74091940012</v>
      </c>
      <c r="M34" s="58">
        <f t="shared" si="4"/>
        <v>1128537.1054755782</v>
      </c>
      <c r="N34" s="58">
        <f t="shared" si="4"/>
        <v>656105.58284309972</v>
      </c>
      <c r="O34" s="58">
        <f t="shared" si="4"/>
        <v>335646.59976707038</v>
      </c>
      <c r="P34" s="58">
        <f t="shared" si="4"/>
        <v>179417.01944032198</v>
      </c>
      <c r="Q34" s="58">
        <f t="shared" si="4"/>
        <v>815096.81968837115</v>
      </c>
      <c r="R34" s="58">
        <f t="shared" si="4"/>
        <v>1140395.2825264072</v>
      </c>
      <c r="S34" s="58">
        <f t="shared" si="4"/>
        <v>523041.58471755986</v>
      </c>
      <c r="T34" s="58">
        <f t="shared" si="4"/>
        <v>400041.7297732468</v>
      </c>
      <c r="U34" s="58">
        <f t="shared" si="4"/>
        <v>224343.60485998943</v>
      </c>
    </row>
    <row r="35" spans="1:144" s="12" customFormat="1" ht="15.75" hidden="1" customHeight="1" x14ac:dyDescent="0.3">
      <c r="A35" s="44" t="s">
        <v>52</v>
      </c>
      <c r="B35" s="64">
        <f t="shared" ref="B35:U35" si="5">SUM(B14:B24)+SUM(B29:B34)</f>
        <v>56714847.600000001</v>
      </c>
      <c r="C35" s="64">
        <f t="shared" si="5"/>
        <v>60053166.93</v>
      </c>
      <c r="D35" s="64">
        <f t="shared" si="5"/>
        <v>56035888.07</v>
      </c>
      <c r="E35" s="64">
        <f t="shared" si="5"/>
        <v>55913704.615000002</v>
      </c>
      <c r="F35" s="64">
        <f t="shared" si="5"/>
        <v>57726669.17075</v>
      </c>
      <c r="G35" s="64">
        <f t="shared" si="5"/>
        <v>68487828.350899994</v>
      </c>
      <c r="H35" s="64">
        <f t="shared" si="5"/>
        <v>77456234.578710005</v>
      </c>
      <c r="I35" s="64">
        <f t="shared" si="5"/>
        <v>74587553.331030697</v>
      </c>
      <c r="J35" s="64">
        <f t="shared" si="5"/>
        <v>75919545.355896428</v>
      </c>
      <c r="K35" s="64">
        <f t="shared" si="5"/>
        <v>79438802.456457973</v>
      </c>
      <c r="L35" s="64">
        <f t="shared" si="5"/>
        <v>91637973.428494781</v>
      </c>
      <c r="M35" s="64">
        <f t="shared" si="5"/>
        <v>101438774.08119899</v>
      </c>
      <c r="N35" s="64">
        <f t="shared" si="5"/>
        <v>103008086.91669343</v>
      </c>
      <c r="O35" s="64">
        <f t="shared" si="5"/>
        <v>106920993.92714615</v>
      </c>
      <c r="P35" s="64">
        <f t="shared" si="5"/>
        <v>113388611.23543771</v>
      </c>
      <c r="Q35" s="64">
        <f t="shared" si="5"/>
        <v>129429670.65480398</v>
      </c>
      <c r="R35" s="64">
        <f t="shared" si="5"/>
        <v>142957138.50475511</v>
      </c>
      <c r="S35" s="64">
        <f t="shared" si="5"/>
        <v>147152155.47723246</v>
      </c>
      <c r="T35" s="64">
        <f t="shared" si="5"/>
        <v>157942105.38861251</v>
      </c>
      <c r="U35" s="64">
        <f t="shared" si="5"/>
        <v>169444333.696082</v>
      </c>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row>
    <row r="36" spans="1:144" s="12" customFormat="1" ht="15.75" customHeight="1" x14ac:dyDescent="0.3">
      <c r="A36" s="44" t="s">
        <v>52</v>
      </c>
      <c r="B36" s="64">
        <f>B35+B25</f>
        <v>68099847.599999994</v>
      </c>
      <c r="C36" s="64">
        <f t="shared" ref="C36:U36" si="6">C35+C25</f>
        <v>71438166.930000007</v>
      </c>
      <c r="D36" s="64">
        <f t="shared" si="6"/>
        <v>67420888.069999993</v>
      </c>
      <c r="E36" s="64">
        <f t="shared" si="6"/>
        <v>67298704.61500001</v>
      </c>
      <c r="F36" s="64">
        <f t="shared" si="6"/>
        <v>69111669.170749992</v>
      </c>
      <c r="G36" s="64">
        <f t="shared" si="6"/>
        <v>79872828.350899994</v>
      </c>
      <c r="H36" s="64">
        <f t="shared" si="6"/>
        <v>88841234.578710005</v>
      </c>
      <c r="I36" s="64">
        <f t="shared" si="6"/>
        <v>85972553.331030697</v>
      </c>
      <c r="J36" s="64">
        <f t="shared" si="6"/>
        <v>87304545.355896428</v>
      </c>
      <c r="K36" s="64">
        <f t="shared" si="6"/>
        <v>90823802.456457973</v>
      </c>
      <c r="L36" s="64">
        <f t="shared" si="6"/>
        <v>103022973.42849478</v>
      </c>
      <c r="M36" s="64">
        <f t="shared" si="6"/>
        <v>112823774.08119899</v>
      </c>
      <c r="N36" s="64">
        <f t="shared" si="6"/>
        <v>114393086.91669343</v>
      </c>
      <c r="O36" s="64">
        <f t="shared" si="6"/>
        <v>118305993.92714615</v>
      </c>
      <c r="P36" s="64">
        <f t="shared" si="6"/>
        <v>124773611.23543771</v>
      </c>
      <c r="Q36" s="64">
        <f t="shared" si="6"/>
        <v>140814670.65480399</v>
      </c>
      <c r="R36" s="64">
        <f t="shared" si="6"/>
        <v>154342138.50475511</v>
      </c>
      <c r="S36" s="64">
        <f t="shared" si="6"/>
        <v>158537155.47723246</v>
      </c>
      <c r="T36" s="64">
        <f t="shared" si="6"/>
        <v>169327105.38861251</v>
      </c>
      <c r="U36" s="64">
        <f t="shared" si="6"/>
        <v>180829333.696082</v>
      </c>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1"/>
      <c r="EM36" s="21"/>
      <c r="EN36" s="21"/>
    </row>
    <row r="37" spans="1:144" ht="14.4" x14ac:dyDescent="0.3">
      <c r="A37" s="55" t="s">
        <v>30</v>
      </c>
      <c r="B37" s="59"/>
      <c r="C37" s="59">
        <f>C11</f>
        <v>46224100</v>
      </c>
      <c r="D37" s="59">
        <f t="shared" ref="D37:U37" si="7">D11</f>
        <v>50846510</v>
      </c>
      <c r="E37" s="59">
        <f t="shared" si="7"/>
        <v>55528920</v>
      </c>
      <c r="F37" s="59">
        <f t="shared" si="7"/>
        <v>60277330</v>
      </c>
      <c r="G37" s="59">
        <f t="shared" si="7"/>
        <v>65098340</v>
      </c>
      <c r="H37" s="59">
        <f t="shared" si="7"/>
        <v>82630058</v>
      </c>
      <c r="I37" s="59">
        <f t="shared" si="7"/>
        <v>95650163</v>
      </c>
      <c r="J37" s="59">
        <f t="shared" si="7"/>
        <v>108783004</v>
      </c>
      <c r="K37" s="59">
        <f t="shared" si="7"/>
        <v>122039854</v>
      </c>
      <c r="L37" s="59">
        <f t="shared" si="7"/>
        <v>135433114</v>
      </c>
      <c r="M37" s="59">
        <f t="shared" si="7"/>
        <v>179909290</v>
      </c>
      <c r="N37" s="59">
        <f t="shared" si="7"/>
        <v>213816154</v>
      </c>
      <c r="O37" s="59">
        <f t="shared" si="7"/>
        <v>247930517</v>
      </c>
      <c r="P37" s="59">
        <f t="shared" si="7"/>
        <v>282273130</v>
      </c>
      <c r="Q37" s="59">
        <f t="shared" si="7"/>
        <v>316866817</v>
      </c>
      <c r="R37" s="59">
        <f t="shared" si="7"/>
        <v>537079173.5</v>
      </c>
      <c r="S37" s="59">
        <f t="shared" si="7"/>
        <v>444972636</v>
      </c>
      <c r="T37" s="59">
        <f t="shared" si="7"/>
        <v>539306661</v>
      </c>
      <c r="U37" s="59">
        <f t="shared" si="7"/>
        <v>634054233</v>
      </c>
    </row>
    <row r="38" spans="1:144" ht="14.4" x14ac:dyDescent="0.3">
      <c r="A38" s="55" t="s">
        <v>52</v>
      </c>
      <c r="B38" s="59">
        <f>B36</f>
        <v>68099847.599999994</v>
      </c>
      <c r="C38" s="59">
        <f t="shared" ref="C38:U38" si="8">C36</f>
        <v>71438166.930000007</v>
      </c>
      <c r="D38" s="59">
        <f t="shared" si="8"/>
        <v>67420888.069999993</v>
      </c>
      <c r="E38" s="59">
        <f t="shared" si="8"/>
        <v>67298704.61500001</v>
      </c>
      <c r="F38" s="59">
        <f t="shared" si="8"/>
        <v>69111669.170749992</v>
      </c>
      <c r="G38" s="59">
        <f t="shared" si="8"/>
        <v>79872828.350899994</v>
      </c>
      <c r="H38" s="59">
        <f t="shared" si="8"/>
        <v>88841234.578710005</v>
      </c>
      <c r="I38" s="59">
        <f t="shared" si="8"/>
        <v>85972553.331030697</v>
      </c>
      <c r="J38" s="59">
        <f t="shared" si="8"/>
        <v>87304545.355896428</v>
      </c>
      <c r="K38" s="59">
        <f t="shared" si="8"/>
        <v>90823802.456457973</v>
      </c>
      <c r="L38" s="59">
        <f t="shared" si="8"/>
        <v>103022973.42849478</v>
      </c>
      <c r="M38" s="59">
        <f t="shared" si="8"/>
        <v>112823774.08119899</v>
      </c>
      <c r="N38" s="59">
        <f t="shared" si="8"/>
        <v>114393086.91669343</v>
      </c>
      <c r="O38" s="59">
        <f t="shared" si="8"/>
        <v>118305993.92714615</v>
      </c>
      <c r="P38" s="59">
        <f t="shared" si="8"/>
        <v>124773611.23543771</v>
      </c>
      <c r="Q38" s="59">
        <f t="shared" si="8"/>
        <v>140814670.65480399</v>
      </c>
      <c r="R38" s="59">
        <f t="shared" si="8"/>
        <v>154342138.50475511</v>
      </c>
      <c r="S38" s="59">
        <f t="shared" si="8"/>
        <v>158537155.47723246</v>
      </c>
      <c r="T38" s="59">
        <f t="shared" si="8"/>
        <v>169327105.38861251</v>
      </c>
      <c r="U38" s="59">
        <f t="shared" si="8"/>
        <v>180829333.696082</v>
      </c>
    </row>
    <row r="39" spans="1:144" ht="14.4" x14ac:dyDescent="0.3">
      <c r="A39" s="55" t="s">
        <v>53</v>
      </c>
      <c r="B39" s="58">
        <f>B37-B38</f>
        <v>-68099847.599999994</v>
      </c>
      <c r="C39" s="58">
        <f>C37-C38</f>
        <v>-25214066.930000007</v>
      </c>
      <c r="D39" s="58">
        <f>D37-D38</f>
        <v>-16574378.069999993</v>
      </c>
      <c r="E39" s="58">
        <f t="shared" ref="E39:U39" si="9">E37-E38</f>
        <v>-11769784.61500001</v>
      </c>
      <c r="F39" s="58">
        <f t="shared" si="9"/>
        <v>-8834339.1707499921</v>
      </c>
      <c r="G39" s="58">
        <f t="shared" si="9"/>
        <v>-14774488.350899994</v>
      </c>
      <c r="H39" s="58">
        <f t="shared" si="9"/>
        <v>-6211176.5787100047</v>
      </c>
      <c r="I39" s="58">
        <f t="shared" si="9"/>
        <v>9677609.6689693034</v>
      </c>
      <c r="J39" s="58">
        <f t="shared" si="9"/>
        <v>21478458.644103572</v>
      </c>
      <c r="K39" s="58">
        <f t="shared" si="9"/>
        <v>31216051.543542027</v>
      </c>
      <c r="L39" s="58">
        <f t="shared" si="9"/>
        <v>32410140.571505219</v>
      </c>
      <c r="M39" s="58">
        <f t="shared" si="9"/>
        <v>67085515.91880101</v>
      </c>
      <c r="N39" s="58">
        <f t="shared" si="9"/>
        <v>99423067.083306566</v>
      </c>
      <c r="O39" s="58">
        <f t="shared" si="9"/>
        <v>129624523.07285385</v>
      </c>
      <c r="P39" s="58">
        <f t="shared" si="9"/>
        <v>157499518.76456231</v>
      </c>
      <c r="Q39" s="58">
        <f t="shared" si="9"/>
        <v>176052146.34519601</v>
      </c>
      <c r="R39" s="58">
        <f t="shared" si="9"/>
        <v>382737034.99524486</v>
      </c>
      <c r="S39" s="58">
        <f t="shared" si="9"/>
        <v>286435480.52276754</v>
      </c>
      <c r="T39" s="58">
        <f t="shared" si="9"/>
        <v>369979555.61138749</v>
      </c>
      <c r="U39" s="58">
        <f t="shared" si="9"/>
        <v>453224899.303918</v>
      </c>
    </row>
    <row r="40" spans="1:144" ht="14.4" x14ac:dyDescent="0.3">
      <c r="A40" s="55" t="s">
        <v>54</v>
      </c>
      <c r="B40" s="58"/>
      <c r="C40" s="58"/>
      <c r="D40" s="58"/>
      <c r="E40" s="58"/>
      <c r="F40" s="58"/>
      <c r="G40" s="58"/>
      <c r="H40" s="58"/>
      <c r="I40" s="58">
        <f t="shared" ref="I40:U40" si="10">I39*0.23</f>
        <v>2225850.22386294</v>
      </c>
      <c r="J40" s="58">
        <f t="shared" si="10"/>
        <v>4940045.4881438222</v>
      </c>
      <c r="K40" s="58">
        <f t="shared" si="10"/>
        <v>7179691.8550146669</v>
      </c>
      <c r="L40" s="58">
        <f t="shared" si="10"/>
        <v>7454332.3314462006</v>
      </c>
      <c r="M40" s="58">
        <f t="shared" si="10"/>
        <v>15429668.661324233</v>
      </c>
      <c r="N40" s="58">
        <f t="shared" si="10"/>
        <v>22867305.429160513</v>
      </c>
      <c r="O40" s="58">
        <f t="shared" si="10"/>
        <v>29813640.306756385</v>
      </c>
      <c r="P40" s="58">
        <f t="shared" si="10"/>
        <v>36224889.315849334</v>
      </c>
      <c r="Q40" s="58">
        <f t="shared" si="10"/>
        <v>40491993.659395084</v>
      </c>
      <c r="R40" s="58">
        <f t="shared" si="10"/>
        <v>88029518.048906326</v>
      </c>
      <c r="S40" s="58">
        <f t="shared" si="10"/>
        <v>65880160.520236537</v>
      </c>
      <c r="T40" s="58">
        <f t="shared" si="10"/>
        <v>85095297.79061912</v>
      </c>
      <c r="U40" s="58">
        <f t="shared" si="10"/>
        <v>104241726.83990115</v>
      </c>
    </row>
    <row r="41" spans="1:144" ht="25.95" customHeight="1" x14ac:dyDescent="0.3">
      <c r="A41" s="55" t="s">
        <v>55</v>
      </c>
      <c r="B41" s="58">
        <f>B39</f>
        <v>-68099847.599999994</v>
      </c>
      <c r="C41" s="58">
        <f t="shared" ref="C41:G41" si="11">C39</f>
        <v>-25214066.930000007</v>
      </c>
      <c r="D41" s="58">
        <f t="shared" si="11"/>
        <v>-16574378.069999993</v>
      </c>
      <c r="E41" s="58">
        <f t="shared" si="11"/>
        <v>-11769784.61500001</v>
      </c>
      <c r="F41" s="58">
        <f t="shared" si="11"/>
        <v>-8834339.1707499921</v>
      </c>
      <c r="G41" s="58">
        <f t="shared" si="11"/>
        <v>-14774488.350899994</v>
      </c>
      <c r="H41" s="58">
        <f>H39-(H39*0.23)</f>
        <v>-4782605.9656067034</v>
      </c>
      <c r="I41" s="58">
        <f t="shared" ref="I41:U41" si="12">I39-(I39*0.23)</f>
        <v>7451759.4451063629</v>
      </c>
      <c r="J41" s="58">
        <f t="shared" si="12"/>
        <v>16538413.15595975</v>
      </c>
      <c r="K41" s="58">
        <f t="shared" si="12"/>
        <v>24036359.688527361</v>
      </c>
      <c r="L41" s="58">
        <f t="shared" si="12"/>
        <v>24955808.240059018</v>
      </c>
      <c r="M41" s="58">
        <f t="shared" si="12"/>
        <v>51655847.257476777</v>
      </c>
      <c r="N41" s="58">
        <f t="shared" si="12"/>
        <v>76555761.654146045</v>
      </c>
      <c r="O41" s="58">
        <f t="shared" si="12"/>
        <v>99810882.766097456</v>
      </c>
      <c r="P41" s="58">
        <f t="shared" si="12"/>
        <v>121274629.44871297</v>
      </c>
      <c r="Q41" s="58">
        <f t="shared" si="12"/>
        <v>135560152.68580091</v>
      </c>
      <c r="R41" s="58">
        <f t="shared" si="12"/>
        <v>294707516.94633853</v>
      </c>
      <c r="S41" s="58">
        <f t="shared" si="12"/>
        <v>220555320.00253099</v>
      </c>
      <c r="T41" s="58">
        <f t="shared" si="12"/>
        <v>284884257.82076836</v>
      </c>
      <c r="U41" s="58">
        <f t="shared" si="12"/>
        <v>348983172.46401685</v>
      </c>
    </row>
    <row r="42" spans="1:144" ht="14.4" x14ac:dyDescent="0.3">
      <c r="A42" s="55" t="s">
        <v>56</v>
      </c>
      <c r="B42" s="68">
        <f>B41/B36</f>
        <v>-1</v>
      </c>
      <c r="C42" s="68">
        <f t="shared" ref="C42:U42" si="13">C41/C36</f>
        <v>-0.35294952283289227</v>
      </c>
      <c r="D42" s="68">
        <f t="shared" si="13"/>
        <v>-0.24583446680191429</v>
      </c>
      <c r="E42" s="68">
        <f t="shared" si="13"/>
        <v>-0.17488872456508883</v>
      </c>
      <c r="F42" s="68">
        <f t="shared" si="13"/>
        <v>-0.12782702656079001</v>
      </c>
      <c r="G42" s="68">
        <f t="shared" si="13"/>
        <v>-0.18497514932102085</v>
      </c>
      <c r="H42" s="68">
        <f t="shared" si="13"/>
        <v>-5.3833177671225335E-2</v>
      </c>
      <c r="I42" s="68">
        <f t="shared" si="13"/>
        <v>8.667602806228096E-2</v>
      </c>
      <c r="J42" s="68">
        <f t="shared" si="13"/>
        <v>0.18943358663103979</v>
      </c>
      <c r="K42" s="68">
        <f t="shared" si="13"/>
        <v>0.26464824240375401</v>
      </c>
      <c r="L42" s="68">
        <f t="shared" si="13"/>
        <v>0.24223537148614829</v>
      </c>
      <c r="M42" s="68">
        <f t="shared" si="13"/>
        <v>0.45784541137845813</v>
      </c>
      <c r="N42" s="68">
        <f t="shared" si="13"/>
        <v>0.66923416193757967</v>
      </c>
      <c r="O42" s="68">
        <f t="shared" si="13"/>
        <v>0.84366716725749213</v>
      </c>
      <c r="P42" s="68">
        <f t="shared" si="13"/>
        <v>0.97195735739248235</v>
      </c>
      <c r="Q42" s="68">
        <f t="shared" si="13"/>
        <v>0.96268486838360678</v>
      </c>
      <c r="R42" s="68">
        <f t="shared" si="13"/>
        <v>1.9094430063067898</v>
      </c>
      <c r="S42" s="68">
        <f t="shared" si="13"/>
        <v>1.3911900925597531</v>
      </c>
      <c r="T42" s="68">
        <f t="shared" si="13"/>
        <v>1.6824492284737729</v>
      </c>
      <c r="U42" s="68">
        <f t="shared" si="13"/>
        <v>1.9299035467915249</v>
      </c>
    </row>
    <row r="43" spans="1:144" ht="15" customHeight="1" x14ac:dyDescent="0.3">
      <c r="A43" s="18"/>
      <c r="B43" s="4"/>
      <c r="C43" s="4"/>
      <c r="D43" s="4"/>
      <c r="E43" s="4"/>
      <c r="F43" s="4"/>
      <c r="G43" s="4"/>
      <c r="H43" s="4"/>
      <c r="I43" s="4"/>
      <c r="J43" s="4"/>
      <c r="K43" s="4"/>
      <c r="L43" s="4"/>
      <c r="M43" s="4"/>
      <c r="N43" s="4"/>
      <c r="O43" s="4"/>
      <c r="P43" s="4"/>
      <c r="Q43" s="4"/>
      <c r="R43" s="4"/>
      <c r="S43" s="4"/>
      <c r="T43" s="4"/>
      <c r="U43" s="4"/>
    </row>
    <row r="44" spans="1:144" ht="15" customHeight="1" x14ac:dyDescent="0.3">
      <c r="A44" s="18"/>
      <c r="B44" s="4"/>
      <c r="C44" s="4"/>
      <c r="D44" s="4"/>
      <c r="E44" s="4"/>
      <c r="F44" s="4"/>
      <c r="G44" s="4"/>
      <c r="H44" s="4"/>
      <c r="I44" s="4"/>
      <c r="J44" s="4"/>
      <c r="K44" s="4"/>
      <c r="L44" s="4"/>
      <c r="M44" s="4"/>
      <c r="N44" s="4"/>
      <c r="O44" s="4"/>
      <c r="P44" s="4"/>
      <c r="Q44" s="4"/>
      <c r="R44" s="4"/>
      <c r="S44" s="4"/>
      <c r="T44" s="4"/>
      <c r="U44" s="4"/>
    </row>
    <row r="45" spans="1:144" ht="15" customHeight="1" x14ac:dyDescent="0.3">
      <c r="A45" s="18"/>
      <c r="B45" s="4"/>
      <c r="C45" s="4"/>
      <c r="D45" s="4"/>
      <c r="E45" s="4"/>
      <c r="F45" s="4"/>
      <c r="G45" s="4"/>
      <c r="H45" s="73" t="s">
        <v>57</v>
      </c>
      <c r="I45" s="4"/>
      <c r="J45" s="4"/>
      <c r="K45" s="4"/>
      <c r="L45" s="4"/>
      <c r="M45" s="4"/>
      <c r="N45" s="4"/>
      <c r="O45" s="4"/>
      <c r="P45" s="4"/>
      <c r="Q45" s="4"/>
      <c r="R45" s="4"/>
      <c r="S45" s="4"/>
      <c r="T45" s="4"/>
      <c r="U45" s="4"/>
    </row>
    <row r="46" spans="1:144" ht="15" customHeight="1" x14ac:dyDescent="0.3">
      <c r="A46" s="18"/>
      <c r="B46" s="4"/>
      <c r="C46" s="4"/>
      <c r="D46" s="4"/>
      <c r="E46" s="4"/>
      <c r="F46" s="4"/>
      <c r="G46" s="4"/>
      <c r="H46" s="4"/>
      <c r="I46" s="4"/>
      <c r="J46" s="4"/>
      <c r="K46" s="4"/>
      <c r="L46" s="4"/>
      <c r="M46" s="4"/>
      <c r="N46" s="4"/>
      <c r="O46" s="4"/>
      <c r="P46" s="4"/>
      <c r="Q46" s="4"/>
      <c r="R46" s="4"/>
      <c r="S46" s="4"/>
      <c r="T46" s="4"/>
      <c r="U46" s="4"/>
    </row>
    <row r="47" spans="1:144" ht="15" customHeight="1" x14ac:dyDescent="0.3">
      <c r="C47" s="74"/>
    </row>
    <row r="48" spans="1:144" ht="15" customHeight="1" x14ac:dyDescent="0.3">
      <c r="C48" s="75"/>
      <c r="D48" s="76"/>
    </row>
    <row r="49" spans="3:3" ht="15" customHeight="1" x14ac:dyDescent="0.3">
      <c r="C49" s="74"/>
    </row>
  </sheetData>
  <mergeCells count="1">
    <mergeCell ref="A1:U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CE1D-F084-4E5D-8DB0-BDFA702BFB37}">
  <dimension ref="A1:U11"/>
  <sheetViews>
    <sheetView topLeftCell="R1" workbookViewId="0">
      <selection sqref="A1:U9"/>
    </sheetView>
  </sheetViews>
  <sheetFormatPr defaultColWidth="15.6640625" defaultRowHeight="14.4" x14ac:dyDescent="0.3"/>
  <sheetData>
    <row r="1" spans="1:21" x14ac:dyDescent="0.3">
      <c r="B1">
        <v>1</v>
      </c>
      <c r="C1">
        <v>2</v>
      </c>
      <c r="D1">
        <v>3</v>
      </c>
      <c r="E1">
        <v>4</v>
      </c>
      <c r="F1">
        <v>5</v>
      </c>
      <c r="G1">
        <v>6</v>
      </c>
      <c r="H1">
        <v>7</v>
      </c>
      <c r="I1">
        <v>8</v>
      </c>
      <c r="J1">
        <v>9</v>
      </c>
      <c r="K1">
        <v>10</v>
      </c>
      <c r="L1">
        <v>11</v>
      </c>
      <c r="M1">
        <v>12</v>
      </c>
      <c r="N1">
        <v>13</v>
      </c>
      <c r="O1">
        <v>14</v>
      </c>
      <c r="P1">
        <v>15</v>
      </c>
      <c r="Q1">
        <v>16</v>
      </c>
      <c r="R1">
        <v>17</v>
      </c>
      <c r="S1">
        <v>18</v>
      </c>
      <c r="T1">
        <v>19</v>
      </c>
      <c r="U1">
        <v>20</v>
      </c>
    </row>
    <row r="2" spans="1:21" x14ac:dyDescent="0.3">
      <c r="A2" s="18" t="s">
        <v>32</v>
      </c>
      <c r="B2" s="31">
        <v>5000000</v>
      </c>
      <c r="C2" s="4">
        <f>B2*1.02</f>
        <v>5100000</v>
      </c>
      <c r="D2" s="4">
        <f>C2*1.02</f>
        <v>5202000</v>
      </c>
      <c r="E2" s="4">
        <f t="shared" ref="E2:U2" si="0">D2*1.02</f>
        <v>5306040</v>
      </c>
      <c r="F2" s="4">
        <f t="shared" si="0"/>
        <v>5412160.7999999998</v>
      </c>
      <c r="G2" s="4">
        <f t="shared" si="0"/>
        <v>5520404.0159999998</v>
      </c>
      <c r="H2" s="4">
        <f t="shared" si="0"/>
        <v>5630812.0963199995</v>
      </c>
      <c r="I2" s="4">
        <f t="shared" si="0"/>
        <v>5743428.3382463995</v>
      </c>
      <c r="J2" s="4">
        <f t="shared" si="0"/>
        <v>5858296.9050113279</v>
      </c>
      <c r="K2" s="4">
        <f t="shared" si="0"/>
        <v>5975462.8431115542</v>
      </c>
      <c r="L2" s="4">
        <f t="shared" si="0"/>
        <v>6094972.0999737857</v>
      </c>
      <c r="M2" s="4">
        <f t="shared" si="0"/>
        <v>6216871.5419732612</v>
      </c>
      <c r="N2" s="4">
        <f t="shared" si="0"/>
        <v>6341208.9728127262</v>
      </c>
      <c r="O2" s="4">
        <f t="shared" si="0"/>
        <v>6468033.1522689806</v>
      </c>
      <c r="P2" s="4">
        <f t="shared" si="0"/>
        <v>6597393.81531436</v>
      </c>
      <c r="Q2" s="4">
        <f t="shared" si="0"/>
        <v>6729341.691620647</v>
      </c>
      <c r="R2" s="4">
        <f t="shared" si="0"/>
        <v>6863928.5254530599</v>
      </c>
      <c r="S2" s="4">
        <f t="shared" si="0"/>
        <v>7001207.0959621212</v>
      </c>
      <c r="T2" s="4">
        <f t="shared" si="0"/>
        <v>7141231.2378813634</v>
      </c>
      <c r="U2" s="4">
        <f t="shared" si="0"/>
        <v>7284055.8626389904</v>
      </c>
    </row>
    <row r="3" spans="1:21" x14ac:dyDescent="0.3">
      <c r="A3" s="18" t="s">
        <v>59</v>
      </c>
      <c r="B3" s="4">
        <v>2500000</v>
      </c>
      <c r="C3" s="4">
        <f>B3*1.02</f>
        <v>2550000</v>
      </c>
      <c r="D3" s="4">
        <f t="shared" ref="D3:U3" si="1">C3*1.02</f>
        <v>2601000</v>
      </c>
      <c r="E3" s="4">
        <f t="shared" si="1"/>
        <v>2653020</v>
      </c>
      <c r="F3" s="4">
        <f t="shared" si="1"/>
        <v>2706080.4</v>
      </c>
      <c r="G3" s="4">
        <f t="shared" si="1"/>
        <v>2760202.0079999999</v>
      </c>
      <c r="H3" s="4">
        <f t="shared" si="1"/>
        <v>2815406.0481599998</v>
      </c>
      <c r="I3" s="4">
        <f t="shared" si="1"/>
        <v>2871714.1691231998</v>
      </c>
      <c r="J3" s="4">
        <f t="shared" si="1"/>
        <v>2929148.452505664</v>
      </c>
      <c r="K3" s="4">
        <f t="shared" si="1"/>
        <v>2987731.4215557771</v>
      </c>
      <c r="L3" s="4">
        <f t="shared" si="1"/>
        <v>3047486.0499868928</v>
      </c>
      <c r="M3" s="4">
        <f t="shared" si="1"/>
        <v>3108435.7709866306</v>
      </c>
      <c r="N3" s="4">
        <f t="shared" si="1"/>
        <v>3170604.4864063631</v>
      </c>
      <c r="O3" s="4">
        <f t="shared" si="1"/>
        <v>3234016.5761344903</v>
      </c>
      <c r="P3" s="4">
        <f t="shared" si="1"/>
        <v>3298696.90765718</v>
      </c>
      <c r="Q3" s="4">
        <f t="shared" si="1"/>
        <v>3364670.8458103235</v>
      </c>
      <c r="R3" s="4">
        <f t="shared" si="1"/>
        <v>3431964.26272653</v>
      </c>
      <c r="S3" s="4">
        <f t="shared" si="1"/>
        <v>3500603.5479810606</v>
      </c>
      <c r="T3" s="4">
        <f t="shared" si="1"/>
        <v>3570615.6189406817</v>
      </c>
      <c r="U3" s="4">
        <f t="shared" si="1"/>
        <v>3642027.9313194952</v>
      </c>
    </row>
    <row r="4" spans="1:21" ht="33.75" customHeight="1" x14ac:dyDescent="0.3">
      <c r="A4" s="18" t="s">
        <v>60</v>
      </c>
      <c r="B4" s="37">
        <v>3440700</v>
      </c>
      <c r="C4" s="37">
        <v>244867</v>
      </c>
      <c r="D4" s="37">
        <v>249764.34</v>
      </c>
      <c r="E4" s="37">
        <v>254759.63</v>
      </c>
      <c r="F4" s="37">
        <v>259854.82</v>
      </c>
      <c r="G4" s="37">
        <v>3659467</v>
      </c>
      <c r="H4" s="37">
        <v>265051.92</v>
      </c>
      <c r="I4" s="37">
        <v>270352.95</v>
      </c>
      <c r="J4" s="37">
        <v>275760.01</v>
      </c>
      <c r="K4" s="37">
        <v>281275.21000000002</v>
      </c>
      <c r="L4" s="37">
        <v>3659467</v>
      </c>
      <c r="M4" s="37">
        <v>286900.71999999997</v>
      </c>
      <c r="N4" s="37">
        <v>292638.73</v>
      </c>
      <c r="O4" s="37">
        <v>298491.51</v>
      </c>
      <c r="P4" s="37">
        <v>304461.34000000003</v>
      </c>
      <c r="Q4" s="37">
        <v>3659467</v>
      </c>
      <c r="R4" s="37">
        <v>310550.56</v>
      </c>
      <c r="S4" s="37">
        <v>316761.57</v>
      </c>
      <c r="T4" s="37">
        <v>323096.81</v>
      </c>
      <c r="U4" s="37">
        <v>329558.74</v>
      </c>
    </row>
    <row r="5" spans="1:21" x14ac:dyDescent="0.3">
      <c r="A5" s="18"/>
      <c r="B5" s="30">
        <f>SUM(B2:B4)</f>
        <v>10940700</v>
      </c>
      <c r="C5" s="30">
        <f t="shared" ref="C5:U5" si="2">SUM(C2:C4)</f>
        <v>7894867</v>
      </c>
      <c r="D5" s="30">
        <f t="shared" si="2"/>
        <v>8052764.3399999999</v>
      </c>
      <c r="E5" s="30">
        <f t="shared" si="2"/>
        <v>8213819.6299999999</v>
      </c>
      <c r="F5" s="30">
        <f t="shared" si="2"/>
        <v>8378096.0199999996</v>
      </c>
      <c r="G5" s="30">
        <f t="shared" si="2"/>
        <v>11940073.024</v>
      </c>
      <c r="H5" s="30">
        <f t="shared" si="2"/>
        <v>8711270.0644799992</v>
      </c>
      <c r="I5" s="30">
        <f t="shared" si="2"/>
        <v>8885495.4573695995</v>
      </c>
      <c r="J5" s="30">
        <f t="shared" si="2"/>
        <v>9063205.3675169926</v>
      </c>
      <c r="K5" s="30">
        <f t="shared" si="2"/>
        <v>9244469.4746673331</v>
      </c>
      <c r="L5" s="30">
        <f t="shared" si="2"/>
        <v>12801925.149960678</v>
      </c>
      <c r="M5" s="30">
        <f t="shared" si="2"/>
        <v>9612208.0329598915</v>
      </c>
      <c r="N5" s="30">
        <f t="shared" si="2"/>
        <v>9804452.1892190892</v>
      </c>
      <c r="O5" s="30">
        <f t="shared" si="2"/>
        <v>10000541.238403471</v>
      </c>
      <c r="P5" s="30">
        <f t="shared" si="2"/>
        <v>10200552.06297154</v>
      </c>
      <c r="Q5" s="30">
        <f t="shared" si="2"/>
        <v>13753479.53743097</v>
      </c>
      <c r="R5" s="30">
        <f t="shared" si="2"/>
        <v>10606443.34817959</v>
      </c>
      <c r="S5" s="30">
        <f t="shared" si="2"/>
        <v>10818572.213943182</v>
      </c>
      <c r="T5" s="30">
        <f t="shared" si="2"/>
        <v>11034943.666822046</v>
      </c>
      <c r="U5" s="30">
        <f t="shared" si="2"/>
        <v>11255642.533958485</v>
      </c>
    </row>
    <row r="6" spans="1:21" ht="43.2" x14ac:dyDescent="0.3">
      <c r="A6" s="42" t="s">
        <v>46</v>
      </c>
      <c r="B6" s="43">
        <v>3008692.5000000005</v>
      </c>
      <c r="C6" s="43">
        <v>4362604.125</v>
      </c>
      <c r="D6" s="43">
        <v>1963171.8562500002</v>
      </c>
      <c r="E6" s="43">
        <v>883427.33531250001</v>
      </c>
      <c r="F6" s="43">
        <v>397542.30089062493</v>
      </c>
      <c r="G6" s="43">
        <v>3098139.5177003909</v>
      </c>
      <c r="H6" s="43">
        <v>4492302.3006655667</v>
      </c>
      <c r="I6" s="43">
        <v>2021536.0352995051</v>
      </c>
      <c r="J6" s="43">
        <v>909691.21588477714</v>
      </c>
      <c r="K6" s="43">
        <v>409361.04714814969</v>
      </c>
      <c r="L6" s="43">
        <v>3011351.7179079428</v>
      </c>
      <c r="M6" s="43">
        <v>4366459.9909665175</v>
      </c>
      <c r="N6" s="43">
        <v>1964906.9959349325</v>
      </c>
      <c r="O6" s="43">
        <v>884208.14817071962</v>
      </c>
      <c r="P6" s="43">
        <v>397893.66667682375</v>
      </c>
      <c r="Q6" s="43">
        <v>3095559.3570943428</v>
      </c>
      <c r="R6" s="43">
        <v>3922570.3214528286</v>
      </c>
      <c r="S6" s="43">
        <v>2157413.6767990561</v>
      </c>
      <c r="T6" s="43">
        <v>970836.1545595749</v>
      </c>
      <c r="U6" s="43">
        <v>436876.26955180871</v>
      </c>
    </row>
    <row r="7" spans="1:21" ht="28.8" x14ac:dyDescent="0.3">
      <c r="A7" s="14" t="s">
        <v>44</v>
      </c>
      <c r="B7" s="12"/>
      <c r="G7" s="4">
        <f>B5+F11</f>
        <v>11265961.882546876</v>
      </c>
      <c r="K7" s="4">
        <f>B5+K10</f>
        <v>10950369.88330161</v>
      </c>
      <c r="Q7" s="4">
        <f>P10+B5</f>
        <v>11256579.480343064</v>
      </c>
    </row>
    <row r="8" spans="1:21" ht="43.2" x14ac:dyDescent="0.3">
      <c r="A8" s="18" t="s">
        <v>46</v>
      </c>
      <c r="B8" s="6">
        <f>(B5*0.5)*0.55</f>
        <v>3008692.5000000005</v>
      </c>
      <c r="C8" s="6">
        <f>(B5-B8)*0.55</f>
        <v>4362604.125</v>
      </c>
      <c r="D8" s="7">
        <f>(B5-B8-C8)*0.55</f>
        <v>1963171.8562500002</v>
      </c>
      <c r="E8" s="7">
        <f>(B5-B8-C8-D8)*0.55</f>
        <v>883427.33531250001</v>
      </c>
      <c r="F8" s="34">
        <f>(B5-B8-C8-D8-E8)*0.55</f>
        <v>397542.30089062493</v>
      </c>
      <c r="G8" s="34">
        <f>(G7*0.5)*0.55</f>
        <v>3098139.5177003909</v>
      </c>
      <c r="H8" s="34">
        <f>(G7-G8)*0.55</f>
        <v>4492302.3006655667</v>
      </c>
      <c r="I8" s="34">
        <f>(G7-G8-H8)*0.55</f>
        <v>2021536.0352995051</v>
      </c>
      <c r="J8" s="34">
        <f>(G7-G8-H8-I8)*0.55</f>
        <v>909691.21588477714</v>
      </c>
      <c r="K8" s="34">
        <f>(G7-G8-H8-I8-J8)*0.55</f>
        <v>409361.04714814969</v>
      </c>
      <c r="L8" s="34">
        <f>K7*0.5*0.55</f>
        <v>3011351.7179079428</v>
      </c>
      <c r="M8" s="34">
        <f>(K7-L8)*0.55</f>
        <v>4366459.9909665175</v>
      </c>
      <c r="N8" s="34">
        <f>(K7-L8-M8)*0.55</f>
        <v>1964906.9959349325</v>
      </c>
      <c r="O8" s="34">
        <f>(K7-L8-M8-N8)*0.55</f>
        <v>884208.14817071962</v>
      </c>
      <c r="P8" s="34">
        <f>(K7-L8-M8-N8-O8)*0.55</f>
        <v>397893.66667682375</v>
      </c>
      <c r="Q8" s="34">
        <f>Q7*0.5*0.55</f>
        <v>3095559.3570943428</v>
      </c>
      <c r="R8" s="34">
        <f>(B5-Q8)*0.5</f>
        <v>3922570.3214528286</v>
      </c>
      <c r="S8" s="34">
        <f>(B5-Q8-R8)*0.55</f>
        <v>2157413.6767990561</v>
      </c>
      <c r="T8" s="34">
        <f>(B5-Q8-R8-S8)*0.55</f>
        <v>970836.1545595749</v>
      </c>
      <c r="U8" s="34">
        <f>(B5-Q8-R8-S8-T8)*0.55</f>
        <v>436876.26955180871</v>
      </c>
    </row>
    <row r="9" spans="1:21" x14ac:dyDescent="0.3">
      <c r="K9" s="34">
        <f>SUM(G8:K8)</f>
        <v>10931030.11669839</v>
      </c>
      <c r="P9" s="4">
        <f>SUM(L8:P8)</f>
        <v>10624820.519656936</v>
      </c>
    </row>
    <row r="10" spans="1:21" x14ac:dyDescent="0.3">
      <c r="F10" s="4">
        <f>SUM(B8:F8)</f>
        <v>10615438.117453124</v>
      </c>
      <c r="K10" s="4">
        <f>B5-K9</f>
        <v>9669.8833016101271</v>
      </c>
      <c r="P10" s="4">
        <f>B5-P9</f>
        <v>315879.48034306429</v>
      </c>
    </row>
    <row r="11" spans="1:21" x14ac:dyDescent="0.3">
      <c r="F11" s="4">
        <f>B5-F10</f>
        <v>325261.88254687563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DD387-A013-4F18-91D5-E3CAA51A723A}">
  <dimension ref="A1:G41"/>
  <sheetViews>
    <sheetView workbookViewId="0">
      <selection activeCell="C25" sqref="C25"/>
    </sheetView>
  </sheetViews>
  <sheetFormatPr defaultRowHeight="14.4" x14ac:dyDescent="0.3"/>
  <cols>
    <col min="1" max="1" width="32.5546875" customWidth="1"/>
    <col min="2" max="2" width="29.88671875" customWidth="1"/>
    <col min="3" max="3" width="59" customWidth="1"/>
    <col min="4" max="4" width="54.88671875" customWidth="1"/>
    <col min="5" max="5" width="15" customWidth="1"/>
    <col min="6" max="6" width="18.5546875" customWidth="1"/>
  </cols>
  <sheetData>
    <row r="1" spans="1:7" x14ac:dyDescent="0.3">
      <c r="A1" t="s">
        <v>61</v>
      </c>
    </row>
    <row r="3" spans="1:7" x14ac:dyDescent="0.3">
      <c r="A3" s="14" t="s">
        <v>22</v>
      </c>
      <c r="B3" s="32" t="s">
        <v>58</v>
      </c>
      <c r="C3" s="32" t="s">
        <v>62</v>
      </c>
      <c r="D3" s="32" t="s">
        <v>63</v>
      </c>
      <c r="E3" s="32" t="s">
        <v>64</v>
      </c>
      <c r="F3" s="32" t="s">
        <v>65</v>
      </c>
      <c r="G3" s="32" t="s">
        <v>66</v>
      </c>
    </row>
    <row r="4" spans="1:7" x14ac:dyDescent="0.3">
      <c r="A4" s="15" t="s">
        <v>23</v>
      </c>
    </row>
    <row r="5" spans="1:7" x14ac:dyDescent="0.3">
      <c r="A5" s="15" t="s">
        <v>24</v>
      </c>
    </row>
    <row r="6" spans="1:7" x14ac:dyDescent="0.3">
      <c r="A6" s="15" t="s">
        <v>25</v>
      </c>
    </row>
    <row r="7" spans="1:7" x14ac:dyDescent="0.3">
      <c r="A7" s="15" t="s">
        <v>26</v>
      </c>
    </row>
    <row r="8" spans="1:7" x14ac:dyDescent="0.3">
      <c r="A8" s="16" t="s">
        <v>27</v>
      </c>
    </row>
    <row r="9" spans="1:7" x14ac:dyDescent="0.3">
      <c r="A9" s="17" t="s">
        <v>28</v>
      </c>
    </row>
    <row r="10" spans="1:7" x14ac:dyDescent="0.3">
      <c r="A10" s="17" t="s">
        <v>29</v>
      </c>
    </row>
    <row r="11" spans="1:7" x14ac:dyDescent="0.3">
      <c r="A11" s="14" t="s">
        <v>30</v>
      </c>
    </row>
    <row r="12" spans="1:7" x14ac:dyDescent="0.3">
      <c r="A12" s="19"/>
    </row>
    <row r="13" spans="1:7" x14ac:dyDescent="0.3">
      <c r="A13" s="14" t="s">
        <v>31</v>
      </c>
    </row>
    <row r="14" spans="1:7" ht="255.75" customHeight="1" x14ac:dyDescent="0.3">
      <c r="A14" s="18" t="s">
        <v>32</v>
      </c>
      <c r="B14" s="39" t="s">
        <v>67</v>
      </c>
      <c r="C14" s="33" t="s">
        <v>68</v>
      </c>
    </row>
    <row r="15" spans="1:7" ht="409.5" customHeight="1" x14ac:dyDescent="0.3">
      <c r="A15" s="18" t="s">
        <v>33</v>
      </c>
      <c r="B15" s="40">
        <v>1000000</v>
      </c>
      <c r="C15" s="33" t="s">
        <v>69</v>
      </c>
    </row>
    <row r="16" spans="1:7" x14ac:dyDescent="0.3">
      <c r="A16" s="18" t="s">
        <v>70</v>
      </c>
    </row>
    <row r="17" spans="1:4" x14ac:dyDescent="0.3">
      <c r="A17" s="18" t="s">
        <v>71</v>
      </c>
    </row>
    <row r="18" spans="1:4" x14ac:dyDescent="0.3">
      <c r="A18" s="18" t="s">
        <v>35</v>
      </c>
    </row>
    <row r="19" spans="1:4" x14ac:dyDescent="0.3">
      <c r="A19" s="18" t="s">
        <v>36</v>
      </c>
    </row>
    <row r="20" spans="1:4" ht="409.6" x14ac:dyDescent="0.3">
      <c r="A20" s="18" t="s">
        <v>37</v>
      </c>
      <c r="B20" s="35">
        <v>1450000</v>
      </c>
      <c r="C20" s="38" t="s">
        <v>72</v>
      </c>
      <c r="D20" s="38" t="s">
        <v>73</v>
      </c>
    </row>
    <row r="21" spans="1:4" x14ac:dyDescent="0.3">
      <c r="A21" s="18" t="s">
        <v>59</v>
      </c>
    </row>
    <row r="22" spans="1:4" x14ac:dyDescent="0.3">
      <c r="A22" s="18" t="s">
        <v>39</v>
      </c>
    </row>
    <row r="23" spans="1:4" x14ac:dyDescent="0.3">
      <c r="A23" s="18" t="s">
        <v>74</v>
      </c>
    </row>
    <row r="24" spans="1:4" x14ac:dyDescent="0.3">
      <c r="A24" s="18" t="s">
        <v>41</v>
      </c>
    </row>
    <row r="25" spans="1:4" ht="409.6" x14ac:dyDescent="0.3">
      <c r="A25" s="18" t="s">
        <v>75</v>
      </c>
      <c r="C25" s="36" t="s">
        <v>76</v>
      </c>
    </row>
    <row r="26" spans="1:4" x14ac:dyDescent="0.3">
      <c r="A26" s="18" t="s">
        <v>43</v>
      </c>
      <c r="B26" s="40"/>
      <c r="C26" s="36"/>
    </row>
    <row r="27" spans="1:4" x14ac:dyDescent="0.3">
      <c r="A27" s="14" t="s">
        <v>44</v>
      </c>
    </row>
    <row r="28" spans="1:4" ht="409.5" customHeight="1" x14ac:dyDescent="0.3">
      <c r="A28" s="18" t="s">
        <v>46</v>
      </c>
      <c r="B28" s="40">
        <v>20000000</v>
      </c>
      <c r="C28" s="33" t="s">
        <v>77</v>
      </c>
    </row>
    <row r="29" spans="1:4" ht="409.5" customHeight="1" x14ac:dyDescent="0.3">
      <c r="A29" s="18" t="s">
        <v>78</v>
      </c>
      <c r="B29" s="41">
        <v>19000000</v>
      </c>
      <c r="C29" s="38" t="s">
        <v>79</v>
      </c>
    </row>
    <row r="30" spans="1:4" ht="409.5" customHeight="1" x14ac:dyDescent="0.3">
      <c r="A30" s="18" t="s">
        <v>80</v>
      </c>
      <c r="C30" s="38" t="s">
        <v>81</v>
      </c>
    </row>
    <row r="31" spans="1:4" x14ac:dyDescent="0.3">
      <c r="A31" s="18" t="s">
        <v>82</v>
      </c>
    </row>
    <row r="32" spans="1:4" x14ac:dyDescent="0.3">
      <c r="A32" s="14" t="s">
        <v>50</v>
      </c>
    </row>
    <row r="33" spans="1:3" x14ac:dyDescent="0.3">
      <c r="A33" s="19" t="s">
        <v>51</v>
      </c>
    </row>
    <row r="34" spans="1:3" x14ac:dyDescent="0.3">
      <c r="A34" s="14" t="s">
        <v>52</v>
      </c>
    </row>
    <row r="35" spans="1:3" x14ac:dyDescent="0.3">
      <c r="A35" s="18" t="s">
        <v>30</v>
      </c>
    </row>
    <row r="36" spans="1:3" x14ac:dyDescent="0.3">
      <c r="A36" s="18" t="s">
        <v>52</v>
      </c>
    </row>
    <row r="37" spans="1:3" x14ac:dyDescent="0.3">
      <c r="A37" s="18" t="s">
        <v>83</v>
      </c>
    </row>
    <row r="38" spans="1:3" x14ac:dyDescent="0.3">
      <c r="A38" s="18" t="s">
        <v>54</v>
      </c>
    </row>
    <row r="39" spans="1:3" x14ac:dyDescent="0.3">
      <c r="A39" s="18" t="s">
        <v>55</v>
      </c>
    </row>
    <row r="40" spans="1:3" x14ac:dyDescent="0.3">
      <c r="A40" s="19"/>
      <c r="C40">
        <f>4000*3*100</f>
        <v>1200000</v>
      </c>
    </row>
    <row r="41" spans="1:3" x14ac:dyDescent="0.3">
      <c r="A41" s="18"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6021C-4D73-4258-AE7E-2F1F24918C8A}">
  <dimension ref="A1:XFB50"/>
  <sheetViews>
    <sheetView topLeftCell="A18" workbookViewId="0">
      <selection activeCell="D47" sqref="D47"/>
    </sheetView>
  </sheetViews>
  <sheetFormatPr defaultColWidth="8.88671875" defaultRowHeight="15" customHeight="1" x14ac:dyDescent="0.3"/>
  <cols>
    <col min="1" max="1" width="34.6640625" style="19" customWidth="1"/>
    <col min="2" max="3" width="20" customWidth="1"/>
    <col min="4" max="4" width="21" customWidth="1"/>
    <col min="5" max="5" width="16" bestFit="1" customWidth="1"/>
    <col min="6" max="6" width="18.109375" customWidth="1"/>
    <col min="7" max="7" width="17.88671875" customWidth="1"/>
    <col min="8" max="8" width="17.6640625" customWidth="1"/>
    <col min="9" max="9" width="18.44140625" customWidth="1"/>
    <col min="10" max="10" width="17.109375" customWidth="1"/>
    <col min="11" max="11" width="18.109375" customWidth="1"/>
    <col min="12" max="12" width="19.44140625" customWidth="1"/>
    <col min="13" max="13" width="20.33203125" customWidth="1"/>
    <col min="14" max="14" width="19.33203125" customWidth="1"/>
    <col min="15" max="21" width="17.6640625" bestFit="1" customWidth="1"/>
    <col min="22" max="22" width="18.109375" bestFit="1" customWidth="1"/>
    <col min="23" max="23" width="9.109375" style="11" bestFit="1" customWidth="1"/>
    <col min="24" max="29" width="8.88671875" style="11"/>
    <col min="30" max="30" width="22.44140625" style="11" customWidth="1"/>
    <col min="31" max="31" width="15.6640625" style="11" customWidth="1"/>
    <col min="32" max="16384" width="8.88671875" style="11"/>
  </cols>
  <sheetData>
    <row r="1" spans="1:1010 1031:2039 2060:3068 3089:4076 4097:5105 5126:6134 6155:7163 7184:8192 8213:9200 9221:10229 10250:11258 11279:12287 12308:13295 13316:14324 14345:15353 15374:16382" ht="14.4" x14ac:dyDescent="0.3">
      <c r="A1" s="14" t="s">
        <v>1</v>
      </c>
      <c r="B1" s="12" t="s">
        <v>84</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spans="1:1010 1031:2039 2060:3068 3089:4076 4097:5105 5126:6134 6155:7163 7184:8192 8213:9200 9221:10229 10250:11258 11279:12287 12308:13295 13316:14324 14345:15353 15374:16382" ht="14.4" x14ac:dyDescent="0.3">
      <c r="A2" s="14" t="s">
        <v>22</v>
      </c>
      <c r="B2" s="13"/>
      <c r="C2" s="13"/>
      <c r="D2" s="13"/>
      <c r="E2" s="13"/>
      <c r="F2" s="13"/>
      <c r="G2" s="13"/>
      <c r="H2" s="13"/>
      <c r="I2" s="13"/>
      <c r="J2" s="13"/>
      <c r="K2" s="13"/>
      <c r="L2" s="13"/>
      <c r="M2" s="13"/>
      <c r="N2" s="13"/>
      <c r="O2" s="13"/>
      <c r="P2" s="13"/>
      <c r="Q2" s="13"/>
      <c r="R2" s="13"/>
      <c r="S2" s="13"/>
      <c r="T2" s="13"/>
      <c r="U2" s="13"/>
      <c r="V2" s="13"/>
    </row>
    <row r="3" spans="1:1010 1031:2039 2060:3068 3089:4076 4097:5105 5126:6134 6155:7163 7184:8192 8213:9200 9221:10229 10250:11258 11279:12287 12308:13295 13316:14324 14345:15353 15374:16382" ht="14.4" x14ac:dyDescent="0.3">
      <c r="A3" s="15" t="s">
        <v>23</v>
      </c>
      <c r="B3" s="2" t="s">
        <v>85</v>
      </c>
      <c r="C3" s="1">
        <v>25000000</v>
      </c>
      <c r="D3" s="1"/>
      <c r="E3" s="1"/>
      <c r="F3" s="1"/>
      <c r="G3" s="1"/>
      <c r="H3" s="1"/>
      <c r="I3" s="1"/>
      <c r="J3" s="1"/>
      <c r="K3" s="1"/>
      <c r="L3" s="1"/>
      <c r="M3" s="1"/>
      <c r="N3" s="1"/>
      <c r="O3" s="1"/>
      <c r="P3" s="1"/>
      <c r="Q3" s="1"/>
      <c r="R3" s="1"/>
      <c r="S3" s="1"/>
      <c r="T3" s="1"/>
      <c r="U3" s="1"/>
      <c r="V3" s="1"/>
    </row>
    <row r="4" spans="1:1010 1031:2039 2060:3068 3089:4076 4097:5105 5126:6134 6155:7163 7184:8192 8213:9200 9221:10229 10250:11258 11279:12287 12308:13295 13316:14324 14345:15353 15374:16382" ht="14.4" x14ac:dyDescent="0.3">
      <c r="A4" s="15" t="s">
        <v>24</v>
      </c>
      <c r="B4" s="2" t="s">
        <v>85</v>
      </c>
      <c r="C4" s="1">
        <v>36000000</v>
      </c>
      <c r="D4" s="2"/>
      <c r="E4" s="2"/>
      <c r="F4" s="2"/>
      <c r="G4" s="2"/>
      <c r="H4" s="2"/>
      <c r="I4" s="2"/>
      <c r="J4" s="2"/>
      <c r="K4" s="2"/>
      <c r="L4" s="2"/>
      <c r="M4" s="2"/>
      <c r="N4" s="2"/>
      <c r="O4" s="2"/>
      <c r="P4" s="2"/>
      <c r="Q4" s="2"/>
      <c r="R4" s="2"/>
      <c r="S4" s="2"/>
      <c r="T4" s="2"/>
      <c r="U4" s="2"/>
      <c r="V4" s="2"/>
    </row>
    <row r="5" spans="1:1010 1031:2039 2060:3068 3089:4076 4097:5105 5126:6134 6155:7163 7184:8192 8213:9200 9221:10229 10250:11258 11279:12287 12308:13295 13316:14324 14345:15353 15374:16382" ht="14.4" x14ac:dyDescent="0.3">
      <c r="A5" s="15" t="s">
        <v>25</v>
      </c>
      <c r="B5" s="2" t="s">
        <v>85</v>
      </c>
      <c r="C5" s="1">
        <v>20000000</v>
      </c>
      <c r="D5" s="2"/>
      <c r="E5" s="2"/>
      <c r="F5" s="2"/>
      <c r="G5" s="2"/>
      <c r="H5" s="2"/>
      <c r="I5" s="2"/>
      <c r="J5" s="2"/>
      <c r="K5" s="2"/>
      <c r="L5" s="2"/>
      <c r="M5" s="2"/>
      <c r="N5" s="2"/>
      <c r="O5" s="2"/>
      <c r="P5" s="2"/>
      <c r="Q5" s="2"/>
      <c r="R5" s="2"/>
      <c r="S5" s="2"/>
      <c r="T5" s="2"/>
      <c r="U5" s="2"/>
      <c r="V5" s="2"/>
    </row>
    <row r="6" spans="1:1010 1031:2039 2060:3068 3089:4076 4097:5105 5126:6134 6155:7163 7184:8192 8213:9200 9221:10229 10250:11258 11279:12287 12308:13295 13316:14324 14345:15353 15374:16382" ht="14.4" x14ac:dyDescent="0.3">
      <c r="A6" s="15" t="s">
        <v>26</v>
      </c>
      <c r="B6" s="1" t="s">
        <v>86</v>
      </c>
      <c r="C6" s="1">
        <v>15000000</v>
      </c>
      <c r="D6" s="2"/>
      <c r="E6" s="2"/>
      <c r="F6" s="2"/>
      <c r="G6" s="2"/>
      <c r="H6" s="2"/>
      <c r="I6" s="2"/>
      <c r="J6" s="2"/>
      <c r="K6" s="2"/>
      <c r="L6" s="2"/>
      <c r="M6" s="2"/>
      <c r="N6" s="2"/>
      <c r="O6" s="2"/>
      <c r="P6" s="2"/>
      <c r="Q6" s="2"/>
      <c r="R6" s="2"/>
      <c r="S6" s="2"/>
      <c r="T6" s="2"/>
      <c r="U6" s="2"/>
      <c r="V6" s="2"/>
    </row>
    <row r="7" spans="1:1010 1031:2039 2060:3068 3089:4076 4097:5105 5126:6134 6155:7163 7184:8192 8213:9200 9221:10229 10250:11258 11279:12287 12308:13295 13316:14324 14345:15353 15374:16382" ht="14.4" x14ac:dyDescent="0.3">
      <c r="A7" s="15" t="s">
        <v>87</v>
      </c>
      <c r="B7" s="1" t="s">
        <v>86</v>
      </c>
      <c r="C7" s="1">
        <v>10000000</v>
      </c>
      <c r="D7" s="2"/>
      <c r="E7" s="2"/>
      <c r="F7" s="2"/>
      <c r="G7" s="2"/>
      <c r="H7" s="2"/>
      <c r="I7" s="2"/>
      <c r="J7" s="2"/>
      <c r="K7" s="2"/>
      <c r="L7" s="2"/>
      <c r="M7" s="2"/>
      <c r="N7" s="2"/>
      <c r="O7" s="2"/>
      <c r="P7" s="2"/>
      <c r="Q7" s="2"/>
      <c r="R7" s="2"/>
      <c r="S7" s="2"/>
      <c r="T7" s="2"/>
      <c r="U7" s="2"/>
      <c r="V7" s="2"/>
    </row>
    <row r="8" spans="1:1010 1031:2039 2060:3068 3089:4076 4097:5105 5126:6134 6155:7163 7184:8192 8213:9200 9221:10229 10250:11258 11279:12287 12308:13295 13316:14324 14345:15353 15374:16382" ht="14.4" x14ac:dyDescent="0.3">
      <c r="A8" s="15" t="s">
        <v>88</v>
      </c>
      <c r="B8" s="1" t="s">
        <v>86</v>
      </c>
      <c r="C8" s="28">
        <v>8000000</v>
      </c>
      <c r="D8" s="2"/>
      <c r="E8" s="2"/>
      <c r="F8" s="2"/>
      <c r="G8" s="2"/>
      <c r="H8" s="2"/>
      <c r="I8" s="2"/>
      <c r="J8" s="2"/>
      <c r="K8" s="2"/>
      <c r="L8" s="2"/>
      <c r="M8" s="2"/>
      <c r="N8" s="2"/>
      <c r="O8" s="2"/>
      <c r="P8" s="2"/>
      <c r="Q8" s="2"/>
      <c r="R8" s="2"/>
      <c r="S8" s="2"/>
      <c r="T8" s="2"/>
      <c r="U8" s="2"/>
      <c r="V8" s="2"/>
    </row>
    <row r="9" spans="1:1010 1031:2039 2060:3068 3089:4076 4097:5105 5126:6134 6155:7163 7184:8192 8213:9200 9221:10229 10250:11258 11279:12287 12308:13295 13316:14324 14345:15353 15374:16382" ht="14.4" x14ac:dyDescent="0.3">
      <c r="A9" s="16" t="s">
        <v>27</v>
      </c>
      <c r="B9" s="1" t="s">
        <v>89</v>
      </c>
      <c r="C9" s="28">
        <v>5000000</v>
      </c>
      <c r="D9" s="2"/>
      <c r="E9" s="2"/>
      <c r="F9" s="2"/>
      <c r="G9" s="2"/>
      <c r="H9" s="2"/>
      <c r="I9" s="2"/>
      <c r="J9" s="2"/>
      <c r="K9" s="2"/>
      <c r="L9" s="2"/>
      <c r="M9" s="2"/>
      <c r="N9" s="2"/>
      <c r="O9" s="2"/>
      <c r="P9" s="2"/>
      <c r="Q9" s="2"/>
      <c r="R9" s="2"/>
      <c r="S9" s="2"/>
      <c r="T9" s="2"/>
      <c r="U9" s="2"/>
      <c r="V9" s="2"/>
    </row>
    <row r="10" spans="1:1010 1031:2039 2060:3068 3089:4076 4097:5105 5126:6134 6155:7163 7184:8192 8213:9200 9221:10229 10250:11258 11279:12287 12308:13295 13316:14324 14345:15353 15374:16382" ht="14.4" x14ac:dyDescent="0.3">
      <c r="A10" s="17" t="s">
        <v>28</v>
      </c>
      <c r="B10" s="1" t="s">
        <v>89</v>
      </c>
      <c r="C10" s="28">
        <v>7000000</v>
      </c>
      <c r="D10" s="2"/>
      <c r="E10" s="2"/>
      <c r="F10" s="2"/>
      <c r="G10" s="2"/>
      <c r="H10" s="2"/>
      <c r="I10" s="2"/>
      <c r="J10" s="2"/>
      <c r="K10" s="2"/>
      <c r="L10" s="2"/>
      <c r="M10" s="2"/>
      <c r="N10" s="2"/>
      <c r="O10" s="2"/>
      <c r="P10" s="2"/>
      <c r="Q10" s="2"/>
      <c r="R10" s="2"/>
      <c r="S10" s="2"/>
      <c r="T10" s="2"/>
      <c r="U10" s="2"/>
      <c r="V10" s="2"/>
    </row>
    <row r="11" spans="1:1010 1031:2039 2060:3068 3089:4076 4097:5105 5126:6134 6155:7163 7184:8192 8213:9200 9221:10229 10250:11258 11279:12287 12308:13295 13316:14324 14345:15353 15374:16382" ht="14.4" x14ac:dyDescent="0.3">
      <c r="A11" s="17" t="s">
        <v>29</v>
      </c>
      <c r="B11" s="1" t="s">
        <v>89</v>
      </c>
      <c r="C11" s="2">
        <v>5000000</v>
      </c>
      <c r="D11" s="2"/>
      <c r="E11" s="2"/>
      <c r="F11" s="2"/>
      <c r="G11" s="3"/>
      <c r="H11" s="3"/>
      <c r="I11" s="2"/>
      <c r="J11" s="3"/>
      <c r="K11" s="2"/>
      <c r="L11" s="2"/>
      <c r="M11" s="2"/>
      <c r="N11" s="2"/>
      <c r="O11" s="2"/>
      <c r="P11" s="2"/>
      <c r="Q11" s="2"/>
      <c r="R11" s="2"/>
      <c r="S11" s="2"/>
      <c r="T11" s="2"/>
      <c r="U11" s="2"/>
      <c r="V11" s="2"/>
    </row>
    <row r="12" spans="1:1010 1031:2039 2060:3068 3089:4076 4097:5105 5126:6134 6155:7163 7184:8192 8213:9200 9221:10229 10250:11258 11279:12287 12308:13295 13316:14324 14345:15353 15374:16382" s="12" customFormat="1" ht="14.4" x14ac:dyDescent="0.3">
      <c r="A12" s="14" t="s">
        <v>30</v>
      </c>
      <c r="C12" s="29">
        <f>SUM(C3:C11)</f>
        <v>131000000</v>
      </c>
      <c r="W12" s="22"/>
      <c r="X12" s="21"/>
      <c r="Y12" s="21"/>
      <c r="Z12" s="21"/>
      <c r="AA12" s="21"/>
      <c r="AB12" s="21"/>
      <c r="AC12" s="21"/>
      <c r="AD12" s="21"/>
      <c r="AE12" s="21"/>
      <c r="AF12" s="21"/>
      <c r="AG12" s="21"/>
      <c r="AH12" s="21"/>
      <c r="AI12" s="21"/>
      <c r="AJ12" s="21"/>
      <c r="AK12" s="21"/>
      <c r="AL12" s="21"/>
      <c r="AM12" s="21"/>
      <c r="AN12" s="21"/>
      <c r="AO12" s="21"/>
      <c r="AP12" s="21"/>
      <c r="AQ12" s="21"/>
      <c r="AR12" s="22"/>
      <c r="AS12" s="21"/>
      <c r="AT12" s="21"/>
      <c r="AU12" s="21"/>
      <c r="AV12" s="21"/>
      <c r="AW12" s="21"/>
      <c r="AX12" s="21"/>
      <c r="AY12" s="21"/>
      <c r="AZ12" s="21"/>
      <c r="BA12" s="21"/>
      <c r="BB12" s="21"/>
      <c r="BC12" s="21"/>
      <c r="BD12" s="21"/>
      <c r="BE12" s="21"/>
      <c r="BF12" s="21"/>
      <c r="BG12" s="21"/>
      <c r="BH12" s="21"/>
      <c r="BI12" s="21"/>
      <c r="BJ12" s="21"/>
      <c r="BK12" s="21"/>
      <c r="BL12" s="21"/>
      <c r="BM12" s="22"/>
      <c r="BN12" s="21"/>
      <c r="BO12" s="21"/>
      <c r="BP12" s="21"/>
      <c r="BQ12" s="21"/>
      <c r="BR12" s="21"/>
      <c r="BS12" s="21"/>
      <c r="BT12" s="21"/>
      <c r="BU12" s="21"/>
      <c r="BV12" s="21"/>
      <c r="BW12" s="21"/>
      <c r="BX12" s="21"/>
      <c r="BY12" s="21"/>
      <c r="BZ12" s="21"/>
      <c r="CA12" s="21"/>
      <c r="CB12" s="21"/>
      <c r="CC12" s="21"/>
      <c r="CD12" s="21"/>
      <c r="CE12" s="21"/>
      <c r="CF12" s="21"/>
      <c r="CG12" s="21"/>
      <c r="CH12" s="22"/>
      <c r="CI12" s="21"/>
      <c r="CJ12" s="21"/>
      <c r="CK12" s="21"/>
      <c r="CL12" s="21"/>
      <c r="CM12" s="21"/>
      <c r="CN12" s="21"/>
      <c r="CO12" s="21"/>
      <c r="CP12" s="21"/>
      <c r="CQ12" s="21"/>
      <c r="CR12" s="21"/>
      <c r="CS12" s="21"/>
      <c r="CT12" s="21"/>
      <c r="CU12" s="21"/>
      <c r="CV12" s="21"/>
      <c r="CW12" s="21"/>
      <c r="CX12" s="21"/>
      <c r="CY12" s="21"/>
      <c r="CZ12" s="21"/>
      <c r="DA12" s="21"/>
      <c r="DB12" s="21"/>
      <c r="DC12" s="22"/>
      <c r="DD12" s="21"/>
      <c r="DE12" s="21"/>
      <c r="DF12" s="21"/>
      <c r="DG12" s="21"/>
      <c r="DH12" s="21"/>
      <c r="DI12" s="21"/>
      <c r="DJ12" s="21"/>
      <c r="DK12" s="21"/>
      <c r="DL12" s="21"/>
      <c r="DM12" s="21"/>
      <c r="DN12" s="21"/>
      <c r="DO12" s="21"/>
      <c r="DP12" s="21"/>
      <c r="DQ12" s="21"/>
      <c r="DR12" s="21"/>
      <c r="DS12" s="21"/>
      <c r="DT12" s="21"/>
      <c r="DU12" s="21"/>
      <c r="DV12" s="21"/>
      <c r="DW12" s="21"/>
      <c r="DX12" s="22"/>
      <c r="DY12" s="21"/>
      <c r="DZ12" s="21"/>
      <c r="EA12" s="21"/>
      <c r="EB12" s="21"/>
      <c r="EC12" s="21"/>
      <c r="ED12" s="21"/>
      <c r="EE12" s="21"/>
      <c r="EF12" s="21"/>
      <c r="EG12" s="21"/>
      <c r="EH12" s="21"/>
      <c r="EI12" s="21"/>
      <c r="EJ12" s="21"/>
      <c r="EK12" s="21"/>
      <c r="EL12" s="21"/>
      <c r="EM12" s="21"/>
      <c r="EN12" s="21"/>
      <c r="EO12" s="21"/>
      <c r="EP12" s="21"/>
      <c r="ES12" s="14"/>
      <c r="FN12" s="14"/>
      <c r="GI12" s="14"/>
      <c r="HD12" s="14"/>
      <c r="HY12" s="14"/>
      <c r="IT12" s="14"/>
      <c r="JO12" s="14"/>
      <c r="KJ12" s="14"/>
      <c r="LE12" s="14"/>
      <c r="LZ12" s="14"/>
      <c r="MU12" s="14"/>
      <c r="NP12" s="14"/>
      <c r="OK12" s="14"/>
      <c r="PF12" s="14"/>
      <c r="QA12" s="14"/>
      <c r="QV12" s="14"/>
      <c r="RQ12" s="14"/>
      <c r="SL12" s="14"/>
      <c r="TG12" s="14"/>
      <c r="UB12" s="14"/>
      <c r="UW12" s="14"/>
      <c r="VR12" s="14"/>
      <c r="WM12" s="14"/>
      <c r="XH12" s="14"/>
      <c r="YC12" s="14"/>
      <c r="YX12" s="14"/>
      <c r="ZS12" s="14"/>
      <c r="AAN12" s="14"/>
      <c r="ABI12" s="14"/>
      <c r="ACD12" s="14"/>
      <c r="ACY12" s="14"/>
      <c r="ADT12" s="14"/>
      <c r="AEO12" s="14"/>
      <c r="AFJ12" s="14"/>
      <c r="AGE12" s="14"/>
      <c r="AGZ12" s="14"/>
      <c r="AHU12" s="14"/>
      <c r="AIP12" s="14"/>
      <c r="AJK12" s="14"/>
      <c r="AKF12" s="14"/>
      <c r="ALA12" s="14"/>
      <c r="ALV12" s="14"/>
      <c r="AMQ12" s="14"/>
      <c r="ANL12" s="14"/>
      <c r="AOG12" s="14"/>
      <c r="APB12" s="14"/>
      <c r="APW12" s="14"/>
      <c r="AQR12" s="14"/>
      <c r="ARM12" s="14"/>
      <c r="ASH12" s="14"/>
      <c r="ATC12" s="14"/>
      <c r="ATX12" s="14"/>
      <c r="AUS12" s="14"/>
      <c r="AVN12" s="14"/>
      <c r="AWI12" s="14"/>
      <c r="AXD12" s="14"/>
      <c r="AXY12" s="14"/>
      <c r="AYT12" s="14"/>
      <c r="AZO12" s="14"/>
      <c r="BAJ12" s="14"/>
      <c r="BBE12" s="14"/>
      <c r="BBZ12" s="14"/>
      <c r="BCU12" s="14"/>
      <c r="BDP12" s="14"/>
      <c r="BEK12" s="14"/>
      <c r="BFF12" s="14"/>
      <c r="BGA12" s="14"/>
      <c r="BGV12" s="14"/>
      <c r="BHQ12" s="14"/>
      <c r="BIL12" s="14"/>
      <c r="BJG12" s="14"/>
      <c r="BKB12" s="14"/>
      <c r="BKW12" s="14"/>
      <c r="BLR12" s="14"/>
      <c r="BMM12" s="14"/>
      <c r="BNH12" s="14"/>
      <c r="BOC12" s="14"/>
      <c r="BOX12" s="14"/>
      <c r="BPS12" s="14"/>
      <c r="BQN12" s="14"/>
      <c r="BRI12" s="14"/>
      <c r="BSD12" s="14"/>
      <c r="BSY12" s="14"/>
      <c r="BTT12" s="14"/>
      <c r="BUO12" s="14"/>
      <c r="BVJ12" s="14"/>
      <c r="BWE12" s="14"/>
      <c r="BWZ12" s="14"/>
      <c r="BXU12" s="14"/>
      <c r="BYP12" s="14"/>
      <c r="BZK12" s="14"/>
      <c r="CAF12" s="14"/>
      <c r="CBA12" s="14"/>
      <c r="CBV12" s="14"/>
      <c r="CCQ12" s="14"/>
      <c r="CDL12" s="14"/>
      <c r="CEG12" s="14"/>
      <c r="CFB12" s="14"/>
      <c r="CFW12" s="14"/>
      <c r="CGR12" s="14"/>
      <c r="CHM12" s="14"/>
      <c r="CIH12" s="14"/>
      <c r="CJC12" s="14"/>
      <c r="CJX12" s="14"/>
      <c r="CKS12" s="14"/>
      <c r="CLN12" s="14"/>
      <c r="CMI12" s="14"/>
      <c r="CND12" s="14"/>
      <c r="CNY12" s="14"/>
      <c r="COT12" s="14"/>
      <c r="CPO12" s="14"/>
      <c r="CQJ12" s="14"/>
      <c r="CRE12" s="14"/>
      <c r="CRZ12" s="14"/>
      <c r="CSU12" s="14"/>
      <c r="CTP12" s="14"/>
      <c r="CUK12" s="14"/>
      <c r="CVF12" s="14"/>
      <c r="CWA12" s="14"/>
      <c r="CWV12" s="14"/>
      <c r="CXQ12" s="14"/>
      <c r="CYL12" s="14"/>
      <c r="CZG12" s="14"/>
      <c r="DAB12" s="14"/>
      <c r="DAW12" s="14"/>
      <c r="DBR12" s="14"/>
      <c r="DCM12" s="14"/>
      <c r="DDH12" s="14"/>
      <c r="DEC12" s="14"/>
      <c r="DEX12" s="14"/>
      <c r="DFS12" s="14"/>
      <c r="DGN12" s="14"/>
      <c r="DHI12" s="14"/>
      <c r="DID12" s="14"/>
      <c r="DIY12" s="14"/>
      <c r="DJT12" s="14"/>
      <c r="DKO12" s="14"/>
      <c r="DLJ12" s="14"/>
      <c r="DME12" s="14"/>
      <c r="DMZ12" s="14"/>
      <c r="DNU12" s="14"/>
      <c r="DOP12" s="14"/>
      <c r="DPK12" s="14"/>
      <c r="DQF12" s="14"/>
      <c r="DRA12" s="14"/>
      <c r="DRV12" s="14"/>
      <c r="DSQ12" s="14"/>
      <c r="DTL12" s="14"/>
      <c r="DUG12" s="14"/>
      <c r="DVB12" s="14"/>
      <c r="DVW12" s="14"/>
      <c r="DWR12" s="14"/>
      <c r="DXM12" s="14"/>
      <c r="DYH12" s="14"/>
      <c r="DZC12" s="14"/>
      <c r="DZX12" s="14"/>
      <c r="EAS12" s="14"/>
      <c r="EBN12" s="14"/>
      <c r="ECI12" s="14"/>
      <c r="EDD12" s="14"/>
      <c r="EDY12" s="14"/>
      <c r="EET12" s="14"/>
      <c r="EFO12" s="14"/>
      <c r="EGJ12" s="14"/>
      <c r="EHE12" s="14"/>
      <c r="EHZ12" s="14"/>
      <c r="EIU12" s="14"/>
      <c r="EJP12" s="14"/>
      <c r="EKK12" s="14"/>
      <c r="ELF12" s="14"/>
      <c r="EMA12" s="14"/>
      <c r="EMV12" s="14"/>
      <c r="ENQ12" s="14"/>
      <c r="EOL12" s="14"/>
      <c r="EPG12" s="14"/>
      <c r="EQB12" s="14"/>
      <c r="EQW12" s="14"/>
      <c r="ERR12" s="14"/>
      <c r="ESM12" s="14"/>
      <c r="ETH12" s="14"/>
      <c r="EUC12" s="14"/>
      <c r="EUX12" s="14"/>
      <c r="EVS12" s="14"/>
      <c r="EWN12" s="14"/>
      <c r="EXI12" s="14"/>
      <c r="EYD12" s="14"/>
      <c r="EYY12" s="14"/>
      <c r="EZT12" s="14"/>
      <c r="FAO12" s="14"/>
      <c r="FBJ12" s="14"/>
      <c r="FCE12" s="14"/>
      <c r="FCZ12" s="14"/>
      <c r="FDU12" s="14"/>
      <c r="FEP12" s="14"/>
      <c r="FFK12" s="14"/>
      <c r="FGF12" s="14"/>
      <c r="FHA12" s="14"/>
      <c r="FHV12" s="14"/>
      <c r="FIQ12" s="14"/>
      <c r="FJL12" s="14"/>
      <c r="FKG12" s="14"/>
      <c r="FLB12" s="14"/>
      <c r="FLW12" s="14"/>
      <c r="FMR12" s="14"/>
      <c r="FNM12" s="14"/>
      <c r="FOH12" s="14"/>
      <c r="FPC12" s="14"/>
      <c r="FPX12" s="14"/>
      <c r="FQS12" s="14"/>
      <c r="FRN12" s="14"/>
      <c r="FSI12" s="14"/>
      <c r="FTD12" s="14"/>
      <c r="FTY12" s="14"/>
      <c r="FUT12" s="14"/>
      <c r="FVO12" s="14"/>
      <c r="FWJ12" s="14"/>
      <c r="FXE12" s="14"/>
      <c r="FXZ12" s="14"/>
      <c r="FYU12" s="14"/>
      <c r="FZP12" s="14"/>
      <c r="GAK12" s="14"/>
      <c r="GBF12" s="14"/>
      <c r="GCA12" s="14"/>
      <c r="GCV12" s="14"/>
      <c r="GDQ12" s="14"/>
      <c r="GEL12" s="14"/>
      <c r="GFG12" s="14"/>
      <c r="GGB12" s="14"/>
      <c r="GGW12" s="14"/>
      <c r="GHR12" s="14"/>
      <c r="GIM12" s="14"/>
      <c r="GJH12" s="14"/>
      <c r="GKC12" s="14"/>
      <c r="GKX12" s="14"/>
      <c r="GLS12" s="14"/>
      <c r="GMN12" s="14"/>
      <c r="GNI12" s="14"/>
      <c r="GOD12" s="14"/>
      <c r="GOY12" s="14"/>
      <c r="GPT12" s="14"/>
      <c r="GQO12" s="14"/>
      <c r="GRJ12" s="14"/>
      <c r="GSE12" s="14"/>
      <c r="GSZ12" s="14"/>
      <c r="GTU12" s="14"/>
      <c r="GUP12" s="14"/>
      <c r="GVK12" s="14"/>
      <c r="GWF12" s="14"/>
      <c r="GXA12" s="14"/>
      <c r="GXV12" s="14"/>
      <c r="GYQ12" s="14"/>
      <c r="GZL12" s="14"/>
      <c r="HAG12" s="14"/>
      <c r="HBB12" s="14"/>
      <c r="HBW12" s="14"/>
      <c r="HCR12" s="14"/>
      <c r="HDM12" s="14"/>
      <c r="HEH12" s="14"/>
      <c r="HFC12" s="14"/>
      <c r="HFX12" s="14"/>
      <c r="HGS12" s="14"/>
      <c r="HHN12" s="14"/>
      <c r="HII12" s="14"/>
      <c r="HJD12" s="14"/>
      <c r="HJY12" s="14"/>
      <c r="HKT12" s="14"/>
      <c r="HLO12" s="14"/>
      <c r="HMJ12" s="14"/>
      <c r="HNE12" s="14"/>
      <c r="HNZ12" s="14"/>
      <c r="HOU12" s="14"/>
      <c r="HPP12" s="14"/>
      <c r="HQK12" s="14"/>
      <c r="HRF12" s="14"/>
      <c r="HSA12" s="14"/>
      <c r="HSV12" s="14"/>
      <c r="HTQ12" s="14"/>
      <c r="HUL12" s="14"/>
      <c r="HVG12" s="14"/>
      <c r="HWB12" s="14"/>
      <c r="HWW12" s="14"/>
      <c r="HXR12" s="14"/>
      <c r="HYM12" s="14"/>
      <c r="HZH12" s="14"/>
      <c r="IAC12" s="14"/>
      <c r="IAX12" s="14"/>
      <c r="IBS12" s="14"/>
      <c r="ICN12" s="14"/>
      <c r="IDI12" s="14"/>
      <c r="IED12" s="14"/>
      <c r="IEY12" s="14"/>
      <c r="IFT12" s="14"/>
      <c r="IGO12" s="14"/>
      <c r="IHJ12" s="14"/>
      <c r="IIE12" s="14"/>
      <c r="IIZ12" s="14"/>
      <c r="IJU12" s="14"/>
      <c r="IKP12" s="14"/>
      <c r="ILK12" s="14"/>
      <c r="IMF12" s="14"/>
      <c r="INA12" s="14"/>
      <c r="INV12" s="14"/>
      <c r="IOQ12" s="14"/>
      <c r="IPL12" s="14"/>
      <c r="IQG12" s="14"/>
      <c r="IRB12" s="14"/>
      <c r="IRW12" s="14"/>
      <c r="ISR12" s="14"/>
      <c r="ITM12" s="14"/>
      <c r="IUH12" s="14"/>
      <c r="IVC12" s="14"/>
      <c r="IVX12" s="14"/>
      <c r="IWS12" s="14"/>
      <c r="IXN12" s="14"/>
      <c r="IYI12" s="14"/>
      <c r="IZD12" s="14"/>
      <c r="IZY12" s="14"/>
      <c r="JAT12" s="14"/>
      <c r="JBO12" s="14"/>
      <c r="JCJ12" s="14"/>
      <c r="JDE12" s="14"/>
      <c r="JDZ12" s="14"/>
      <c r="JEU12" s="14"/>
      <c r="JFP12" s="14"/>
      <c r="JGK12" s="14"/>
      <c r="JHF12" s="14"/>
      <c r="JIA12" s="14"/>
      <c r="JIV12" s="14"/>
      <c r="JJQ12" s="14"/>
      <c r="JKL12" s="14"/>
      <c r="JLG12" s="14"/>
      <c r="JMB12" s="14"/>
      <c r="JMW12" s="14"/>
      <c r="JNR12" s="14"/>
      <c r="JOM12" s="14"/>
      <c r="JPH12" s="14"/>
      <c r="JQC12" s="14"/>
      <c r="JQX12" s="14"/>
      <c r="JRS12" s="14"/>
      <c r="JSN12" s="14"/>
      <c r="JTI12" s="14"/>
      <c r="JUD12" s="14"/>
      <c r="JUY12" s="14"/>
      <c r="JVT12" s="14"/>
      <c r="JWO12" s="14"/>
      <c r="JXJ12" s="14"/>
      <c r="JYE12" s="14"/>
      <c r="JYZ12" s="14"/>
      <c r="JZU12" s="14"/>
      <c r="KAP12" s="14"/>
      <c r="KBK12" s="14"/>
      <c r="KCF12" s="14"/>
      <c r="KDA12" s="14"/>
      <c r="KDV12" s="14"/>
      <c r="KEQ12" s="14"/>
      <c r="KFL12" s="14"/>
      <c r="KGG12" s="14"/>
      <c r="KHB12" s="14"/>
      <c r="KHW12" s="14"/>
      <c r="KIR12" s="14"/>
      <c r="KJM12" s="14"/>
      <c r="KKH12" s="14"/>
      <c r="KLC12" s="14"/>
      <c r="KLX12" s="14"/>
      <c r="KMS12" s="14"/>
      <c r="KNN12" s="14"/>
      <c r="KOI12" s="14"/>
      <c r="KPD12" s="14"/>
      <c r="KPY12" s="14"/>
      <c r="KQT12" s="14"/>
      <c r="KRO12" s="14"/>
      <c r="KSJ12" s="14"/>
      <c r="KTE12" s="14"/>
      <c r="KTZ12" s="14"/>
      <c r="KUU12" s="14"/>
      <c r="KVP12" s="14"/>
      <c r="KWK12" s="14"/>
      <c r="KXF12" s="14"/>
      <c r="KYA12" s="14"/>
      <c r="KYV12" s="14"/>
      <c r="KZQ12" s="14"/>
      <c r="LAL12" s="14"/>
      <c r="LBG12" s="14"/>
      <c r="LCB12" s="14"/>
      <c r="LCW12" s="14"/>
      <c r="LDR12" s="14"/>
      <c r="LEM12" s="14"/>
      <c r="LFH12" s="14"/>
      <c r="LGC12" s="14"/>
      <c r="LGX12" s="14"/>
      <c r="LHS12" s="14"/>
      <c r="LIN12" s="14"/>
      <c r="LJI12" s="14"/>
      <c r="LKD12" s="14"/>
      <c r="LKY12" s="14"/>
      <c r="LLT12" s="14"/>
      <c r="LMO12" s="14"/>
      <c r="LNJ12" s="14"/>
      <c r="LOE12" s="14"/>
      <c r="LOZ12" s="14"/>
      <c r="LPU12" s="14"/>
      <c r="LQP12" s="14"/>
      <c r="LRK12" s="14"/>
      <c r="LSF12" s="14"/>
      <c r="LTA12" s="14"/>
      <c r="LTV12" s="14"/>
      <c r="LUQ12" s="14"/>
      <c r="LVL12" s="14"/>
      <c r="LWG12" s="14"/>
      <c r="LXB12" s="14"/>
      <c r="LXW12" s="14"/>
      <c r="LYR12" s="14"/>
      <c r="LZM12" s="14"/>
      <c r="MAH12" s="14"/>
      <c r="MBC12" s="14"/>
      <c r="MBX12" s="14"/>
      <c r="MCS12" s="14"/>
      <c r="MDN12" s="14"/>
      <c r="MEI12" s="14"/>
      <c r="MFD12" s="14"/>
      <c r="MFY12" s="14"/>
      <c r="MGT12" s="14"/>
      <c r="MHO12" s="14"/>
      <c r="MIJ12" s="14"/>
      <c r="MJE12" s="14"/>
      <c r="MJZ12" s="14"/>
      <c r="MKU12" s="14"/>
      <c r="MLP12" s="14"/>
      <c r="MMK12" s="14"/>
      <c r="MNF12" s="14"/>
      <c r="MOA12" s="14"/>
      <c r="MOV12" s="14"/>
      <c r="MPQ12" s="14"/>
      <c r="MQL12" s="14"/>
      <c r="MRG12" s="14"/>
      <c r="MSB12" s="14"/>
      <c r="MSW12" s="14"/>
      <c r="MTR12" s="14"/>
      <c r="MUM12" s="14"/>
      <c r="MVH12" s="14"/>
      <c r="MWC12" s="14"/>
      <c r="MWX12" s="14"/>
      <c r="MXS12" s="14"/>
      <c r="MYN12" s="14"/>
      <c r="MZI12" s="14"/>
      <c r="NAD12" s="14"/>
      <c r="NAY12" s="14"/>
      <c r="NBT12" s="14"/>
      <c r="NCO12" s="14"/>
      <c r="NDJ12" s="14"/>
      <c r="NEE12" s="14"/>
      <c r="NEZ12" s="14"/>
      <c r="NFU12" s="14"/>
      <c r="NGP12" s="14"/>
      <c r="NHK12" s="14"/>
      <c r="NIF12" s="14"/>
      <c r="NJA12" s="14"/>
      <c r="NJV12" s="14"/>
      <c r="NKQ12" s="14"/>
      <c r="NLL12" s="14"/>
      <c r="NMG12" s="14"/>
      <c r="NNB12" s="14"/>
      <c r="NNW12" s="14"/>
      <c r="NOR12" s="14"/>
      <c r="NPM12" s="14"/>
      <c r="NQH12" s="14"/>
      <c r="NRC12" s="14"/>
      <c r="NRX12" s="14"/>
      <c r="NSS12" s="14"/>
      <c r="NTN12" s="14"/>
      <c r="NUI12" s="14"/>
      <c r="NVD12" s="14"/>
      <c r="NVY12" s="14"/>
      <c r="NWT12" s="14"/>
      <c r="NXO12" s="14"/>
      <c r="NYJ12" s="14"/>
      <c r="NZE12" s="14"/>
      <c r="NZZ12" s="14"/>
      <c r="OAU12" s="14"/>
      <c r="OBP12" s="14"/>
      <c r="OCK12" s="14"/>
      <c r="ODF12" s="14"/>
      <c r="OEA12" s="14"/>
      <c r="OEV12" s="14"/>
      <c r="OFQ12" s="14"/>
      <c r="OGL12" s="14"/>
      <c r="OHG12" s="14"/>
      <c r="OIB12" s="14"/>
      <c r="OIW12" s="14"/>
      <c r="OJR12" s="14"/>
      <c r="OKM12" s="14"/>
      <c r="OLH12" s="14"/>
      <c r="OMC12" s="14"/>
      <c r="OMX12" s="14"/>
      <c r="ONS12" s="14"/>
      <c r="OON12" s="14"/>
      <c r="OPI12" s="14"/>
      <c r="OQD12" s="14"/>
      <c r="OQY12" s="14"/>
      <c r="ORT12" s="14"/>
      <c r="OSO12" s="14"/>
      <c r="OTJ12" s="14"/>
      <c r="OUE12" s="14"/>
      <c r="OUZ12" s="14"/>
      <c r="OVU12" s="14"/>
      <c r="OWP12" s="14"/>
      <c r="OXK12" s="14"/>
      <c r="OYF12" s="14"/>
      <c r="OZA12" s="14"/>
      <c r="OZV12" s="14"/>
      <c r="PAQ12" s="14"/>
      <c r="PBL12" s="14"/>
      <c r="PCG12" s="14"/>
      <c r="PDB12" s="14"/>
      <c r="PDW12" s="14"/>
      <c r="PER12" s="14"/>
      <c r="PFM12" s="14"/>
      <c r="PGH12" s="14"/>
      <c r="PHC12" s="14"/>
      <c r="PHX12" s="14"/>
      <c r="PIS12" s="14"/>
      <c r="PJN12" s="14"/>
      <c r="PKI12" s="14"/>
      <c r="PLD12" s="14"/>
      <c r="PLY12" s="14"/>
      <c r="PMT12" s="14"/>
      <c r="PNO12" s="14"/>
      <c r="POJ12" s="14"/>
      <c r="PPE12" s="14"/>
      <c r="PPZ12" s="14"/>
      <c r="PQU12" s="14"/>
      <c r="PRP12" s="14"/>
      <c r="PSK12" s="14"/>
      <c r="PTF12" s="14"/>
      <c r="PUA12" s="14"/>
      <c r="PUV12" s="14"/>
      <c r="PVQ12" s="14"/>
      <c r="PWL12" s="14"/>
      <c r="PXG12" s="14"/>
      <c r="PYB12" s="14"/>
      <c r="PYW12" s="14"/>
      <c r="PZR12" s="14"/>
      <c r="QAM12" s="14"/>
      <c r="QBH12" s="14"/>
      <c r="QCC12" s="14"/>
      <c r="QCX12" s="14"/>
      <c r="QDS12" s="14"/>
      <c r="QEN12" s="14"/>
      <c r="QFI12" s="14"/>
      <c r="QGD12" s="14"/>
      <c r="QGY12" s="14"/>
      <c r="QHT12" s="14"/>
      <c r="QIO12" s="14"/>
      <c r="QJJ12" s="14"/>
      <c r="QKE12" s="14"/>
      <c r="QKZ12" s="14"/>
      <c r="QLU12" s="14"/>
      <c r="QMP12" s="14"/>
      <c r="QNK12" s="14"/>
      <c r="QOF12" s="14"/>
      <c r="QPA12" s="14"/>
      <c r="QPV12" s="14"/>
      <c r="QQQ12" s="14"/>
      <c r="QRL12" s="14"/>
      <c r="QSG12" s="14"/>
      <c r="QTB12" s="14"/>
      <c r="QTW12" s="14"/>
      <c r="QUR12" s="14"/>
      <c r="QVM12" s="14"/>
      <c r="QWH12" s="14"/>
      <c r="QXC12" s="14"/>
      <c r="QXX12" s="14"/>
      <c r="QYS12" s="14"/>
      <c r="QZN12" s="14"/>
      <c r="RAI12" s="14"/>
      <c r="RBD12" s="14"/>
      <c r="RBY12" s="14"/>
      <c r="RCT12" s="14"/>
      <c r="RDO12" s="14"/>
      <c r="REJ12" s="14"/>
      <c r="RFE12" s="14"/>
      <c r="RFZ12" s="14"/>
      <c r="RGU12" s="14"/>
      <c r="RHP12" s="14"/>
      <c r="RIK12" s="14"/>
      <c r="RJF12" s="14"/>
      <c r="RKA12" s="14"/>
      <c r="RKV12" s="14"/>
      <c r="RLQ12" s="14"/>
      <c r="RML12" s="14"/>
      <c r="RNG12" s="14"/>
      <c r="ROB12" s="14"/>
      <c r="ROW12" s="14"/>
      <c r="RPR12" s="14"/>
      <c r="RQM12" s="14"/>
      <c r="RRH12" s="14"/>
      <c r="RSC12" s="14"/>
      <c r="RSX12" s="14"/>
      <c r="RTS12" s="14"/>
      <c r="RUN12" s="14"/>
      <c r="RVI12" s="14"/>
      <c r="RWD12" s="14"/>
      <c r="RWY12" s="14"/>
      <c r="RXT12" s="14"/>
      <c r="RYO12" s="14"/>
      <c r="RZJ12" s="14"/>
      <c r="SAE12" s="14"/>
      <c r="SAZ12" s="14"/>
      <c r="SBU12" s="14"/>
      <c r="SCP12" s="14"/>
      <c r="SDK12" s="14"/>
      <c r="SEF12" s="14"/>
      <c r="SFA12" s="14"/>
      <c r="SFV12" s="14"/>
      <c r="SGQ12" s="14"/>
      <c r="SHL12" s="14"/>
      <c r="SIG12" s="14"/>
      <c r="SJB12" s="14"/>
      <c r="SJW12" s="14"/>
      <c r="SKR12" s="14"/>
      <c r="SLM12" s="14"/>
      <c r="SMH12" s="14"/>
      <c r="SNC12" s="14"/>
      <c r="SNX12" s="14"/>
      <c r="SOS12" s="14"/>
      <c r="SPN12" s="14"/>
      <c r="SQI12" s="14"/>
      <c r="SRD12" s="14"/>
      <c r="SRY12" s="14"/>
      <c r="SST12" s="14"/>
      <c r="STO12" s="14"/>
      <c r="SUJ12" s="14"/>
      <c r="SVE12" s="14"/>
      <c r="SVZ12" s="14"/>
      <c r="SWU12" s="14"/>
      <c r="SXP12" s="14"/>
      <c r="SYK12" s="14"/>
      <c r="SZF12" s="14"/>
      <c r="TAA12" s="14"/>
      <c r="TAV12" s="14"/>
      <c r="TBQ12" s="14"/>
      <c r="TCL12" s="14"/>
      <c r="TDG12" s="14"/>
      <c r="TEB12" s="14"/>
      <c r="TEW12" s="14"/>
      <c r="TFR12" s="14"/>
      <c r="TGM12" s="14"/>
      <c r="THH12" s="14"/>
      <c r="TIC12" s="14"/>
      <c r="TIX12" s="14"/>
      <c r="TJS12" s="14"/>
      <c r="TKN12" s="14"/>
      <c r="TLI12" s="14"/>
      <c r="TMD12" s="14"/>
      <c r="TMY12" s="14"/>
      <c r="TNT12" s="14"/>
      <c r="TOO12" s="14"/>
      <c r="TPJ12" s="14"/>
      <c r="TQE12" s="14"/>
      <c r="TQZ12" s="14"/>
      <c r="TRU12" s="14"/>
      <c r="TSP12" s="14"/>
      <c r="TTK12" s="14"/>
      <c r="TUF12" s="14"/>
      <c r="TVA12" s="14"/>
      <c r="TVV12" s="14"/>
      <c r="TWQ12" s="14"/>
      <c r="TXL12" s="14"/>
      <c r="TYG12" s="14"/>
      <c r="TZB12" s="14"/>
      <c r="TZW12" s="14"/>
      <c r="UAR12" s="14"/>
      <c r="UBM12" s="14"/>
      <c r="UCH12" s="14"/>
      <c r="UDC12" s="14"/>
      <c r="UDX12" s="14"/>
      <c r="UES12" s="14"/>
      <c r="UFN12" s="14"/>
      <c r="UGI12" s="14"/>
      <c r="UHD12" s="14"/>
      <c r="UHY12" s="14"/>
      <c r="UIT12" s="14"/>
      <c r="UJO12" s="14"/>
      <c r="UKJ12" s="14"/>
      <c r="ULE12" s="14"/>
      <c r="ULZ12" s="14"/>
      <c r="UMU12" s="14"/>
      <c r="UNP12" s="14"/>
      <c r="UOK12" s="14"/>
      <c r="UPF12" s="14"/>
      <c r="UQA12" s="14"/>
      <c r="UQV12" s="14"/>
      <c r="URQ12" s="14"/>
      <c r="USL12" s="14"/>
      <c r="UTG12" s="14"/>
      <c r="UUB12" s="14"/>
      <c r="UUW12" s="14"/>
      <c r="UVR12" s="14"/>
      <c r="UWM12" s="14"/>
      <c r="UXH12" s="14"/>
      <c r="UYC12" s="14"/>
      <c r="UYX12" s="14"/>
      <c r="UZS12" s="14"/>
      <c r="VAN12" s="14"/>
      <c r="VBI12" s="14"/>
      <c r="VCD12" s="14"/>
      <c r="VCY12" s="14"/>
      <c r="VDT12" s="14"/>
      <c r="VEO12" s="14"/>
      <c r="VFJ12" s="14"/>
      <c r="VGE12" s="14"/>
      <c r="VGZ12" s="14"/>
      <c r="VHU12" s="14"/>
      <c r="VIP12" s="14"/>
      <c r="VJK12" s="14"/>
      <c r="VKF12" s="14"/>
      <c r="VLA12" s="14"/>
      <c r="VLV12" s="14"/>
      <c r="VMQ12" s="14"/>
      <c r="VNL12" s="14"/>
      <c r="VOG12" s="14"/>
      <c r="VPB12" s="14"/>
      <c r="VPW12" s="14"/>
      <c r="VQR12" s="14"/>
      <c r="VRM12" s="14"/>
      <c r="VSH12" s="14"/>
      <c r="VTC12" s="14"/>
      <c r="VTX12" s="14"/>
      <c r="VUS12" s="14"/>
      <c r="VVN12" s="14"/>
      <c r="VWI12" s="14"/>
      <c r="VXD12" s="14"/>
      <c r="VXY12" s="14"/>
      <c r="VYT12" s="14"/>
      <c r="VZO12" s="14"/>
      <c r="WAJ12" s="14"/>
      <c r="WBE12" s="14"/>
      <c r="WBZ12" s="14"/>
      <c r="WCU12" s="14"/>
      <c r="WDP12" s="14"/>
      <c r="WEK12" s="14"/>
      <c r="WFF12" s="14"/>
      <c r="WGA12" s="14"/>
      <c r="WGV12" s="14"/>
      <c r="WHQ12" s="14"/>
      <c r="WIL12" s="14"/>
      <c r="WJG12" s="14"/>
      <c r="WKB12" s="14"/>
      <c r="WKW12" s="14"/>
      <c r="WLR12" s="14"/>
      <c r="WMM12" s="14"/>
      <c r="WNH12" s="14"/>
      <c r="WOC12" s="14"/>
      <c r="WOX12" s="14"/>
      <c r="WPS12" s="14"/>
      <c r="WQN12" s="14"/>
      <c r="WRI12" s="14"/>
      <c r="WSD12" s="14"/>
      <c r="WSY12" s="14"/>
      <c r="WTT12" s="14"/>
      <c r="WUO12" s="14"/>
      <c r="WVJ12" s="14"/>
      <c r="WWE12" s="14"/>
      <c r="WWZ12" s="14"/>
      <c r="WXU12" s="14"/>
      <c r="WYP12" s="14"/>
      <c r="WZK12" s="14"/>
      <c r="XAF12" s="14"/>
      <c r="XBA12" s="14"/>
      <c r="XBV12" s="14"/>
      <c r="XCQ12" s="14"/>
      <c r="XDL12" s="14"/>
      <c r="XEG12" s="14"/>
      <c r="XFB12" s="14"/>
    </row>
    <row r="14" spans="1:1010 1031:2039 2060:3068 3089:4076 4097:5105 5126:6134 6155:7163 7184:8192 8213:9200 9221:10229 10250:11258 11279:12287 12308:13295 13316:14324 14345:15353 15374:16382" s="12" customFormat="1" ht="15.75" customHeight="1" x14ac:dyDescent="0.3">
      <c r="A14" s="14" t="s">
        <v>31</v>
      </c>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row>
    <row r="15" spans="1:1010 1031:2039 2060:3068 3089:4076 4097:5105 5126:6134 6155:7163 7184:8192 8213:9200 9221:10229 10250:11258 11279:12287 12308:13295 13316:14324 14345:15353 15374:16382" ht="14.4" x14ac:dyDescent="0.3">
      <c r="A15" s="18" t="s">
        <v>32</v>
      </c>
      <c r="B15" s="4" t="s">
        <v>90</v>
      </c>
      <c r="C15" s="4">
        <v>5000000</v>
      </c>
      <c r="D15" s="5"/>
      <c r="E15" s="5"/>
      <c r="F15" s="5"/>
      <c r="G15" s="5"/>
      <c r="H15" s="5"/>
      <c r="I15" s="5"/>
      <c r="J15" s="5"/>
      <c r="K15" s="5"/>
      <c r="L15" s="5"/>
      <c r="M15" s="5"/>
      <c r="N15" s="5"/>
      <c r="O15" s="5"/>
      <c r="P15" s="5"/>
      <c r="Q15" s="5"/>
      <c r="R15" s="5"/>
      <c r="S15" s="5"/>
      <c r="T15" s="5"/>
      <c r="U15" s="5"/>
      <c r="V15" s="5"/>
    </row>
    <row r="16" spans="1:1010 1031:2039 2060:3068 3089:4076 4097:5105 5126:6134 6155:7163 7184:8192 8213:9200 9221:10229 10250:11258 11279:12287 12308:13295 13316:14324 14345:15353 15374:16382" ht="15.75" customHeight="1" x14ac:dyDescent="0.3">
      <c r="A16" s="18" t="s">
        <v>33</v>
      </c>
      <c r="B16" s="4" t="s">
        <v>90</v>
      </c>
      <c r="C16" s="4">
        <v>1000000</v>
      </c>
      <c r="D16" s="6"/>
      <c r="E16" s="6"/>
      <c r="F16" s="6"/>
      <c r="G16" s="6"/>
      <c r="H16" s="6"/>
      <c r="I16" s="6"/>
      <c r="J16" s="6"/>
      <c r="K16" s="6"/>
      <c r="L16" s="6"/>
      <c r="M16" s="6"/>
      <c r="N16" s="6"/>
      <c r="O16" s="6"/>
      <c r="P16" s="6"/>
      <c r="Q16" s="6"/>
      <c r="R16" s="6"/>
      <c r="S16" s="6"/>
      <c r="T16" s="6"/>
      <c r="U16" s="6"/>
      <c r="V16" s="6"/>
    </row>
    <row r="17" spans="1:146" ht="14.4" x14ac:dyDescent="0.3">
      <c r="A17" s="18" t="s">
        <v>70</v>
      </c>
      <c r="B17" s="4" t="s">
        <v>85</v>
      </c>
      <c r="C17" s="4">
        <v>10064.32</v>
      </c>
      <c r="D17" s="6"/>
      <c r="E17" s="6"/>
      <c r="F17" s="6"/>
      <c r="G17" s="6"/>
      <c r="H17" s="6"/>
      <c r="I17" s="6"/>
      <c r="J17" s="6"/>
      <c r="K17" s="6"/>
      <c r="L17" s="6"/>
      <c r="M17" s="6"/>
      <c r="N17" s="6"/>
      <c r="O17" s="6"/>
      <c r="P17" s="6"/>
      <c r="Q17" s="6"/>
      <c r="R17" s="6"/>
      <c r="S17" s="6"/>
      <c r="T17" s="6"/>
      <c r="U17" s="6"/>
      <c r="V17" s="6"/>
    </row>
    <row r="18" spans="1:146" ht="14.4" x14ac:dyDescent="0.3">
      <c r="A18" s="18" t="s">
        <v>71</v>
      </c>
      <c r="B18" s="4" t="s">
        <v>91</v>
      </c>
      <c r="C18" s="4">
        <v>7000000</v>
      </c>
      <c r="D18" s="3"/>
      <c r="E18" s="3"/>
      <c r="F18" s="3"/>
      <c r="G18" s="3"/>
      <c r="H18" s="3"/>
      <c r="I18" s="3"/>
      <c r="J18" s="3"/>
      <c r="K18" s="3"/>
      <c r="L18" s="3"/>
      <c r="M18" s="3"/>
      <c r="N18" s="3"/>
      <c r="O18" s="3"/>
      <c r="P18" s="3"/>
      <c r="Q18" s="3"/>
      <c r="R18" s="3"/>
      <c r="S18" s="3"/>
      <c r="T18" s="3"/>
      <c r="U18" s="3"/>
      <c r="V18" s="3"/>
    </row>
    <row r="19" spans="1:146" ht="21.75" customHeight="1" x14ac:dyDescent="0.3">
      <c r="A19" s="18" t="s">
        <v>35</v>
      </c>
      <c r="B19" s="4" t="s">
        <v>91</v>
      </c>
      <c r="C19" s="4">
        <v>10000000</v>
      </c>
      <c r="D19" s="6">
        <f>C19*12.5%</f>
        <v>1250000</v>
      </c>
      <c r="E19" s="6"/>
      <c r="F19" s="6"/>
      <c r="G19" s="6"/>
      <c r="H19" s="6"/>
      <c r="I19" s="6"/>
      <c r="J19" s="6"/>
      <c r="K19" s="6"/>
      <c r="L19" s="6"/>
      <c r="M19" s="6"/>
      <c r="N19" s="6"/>
      <c r="O19" s="6"/>
      <c r="P19" s="6"/>
      <c r="Q19" s="6"/>
      <c r="R19" s="6"/>
      <c r="S19" s="6"/>
      <c r="T19" s="6"/>
      <c r="U19" s="6"/>
      <c r="V19" s="6"/>
    </row>
    <row r="20" spans="1:146" s="26" customFormat="1" ht="18.75" customHeight="1" x14ac:dyDescent="0.3">
      <c r="A20" s="18" t="s">
        <v>36</v>
      </c>
      <c r="B20" s="23" t="s">
        <v>89</v>
      </c>
      <c r="C20" s="6">
        <v>15000000</v>
      </c>
      <c r="D20" s="24"/>
      <c r="E20" s="24"/>
      <c r="F20" s="24"/>
      <c r="G20" s="25"/>
      <c r="H20" s="24"/>
      <c r="I20" s="24"/>
      <c r="J20" s="24"/>
      <c r="K20" s="24"/>
      <c r="L20" s="24"/>
      <c r="M20" s="24"/>
      <c r="N20" s="24"/>
      <c r="O20" s="24"/>
      <c r="P20" s="24"/>
      <c r="Q20" s="24"/>
      <c r="R20" s="24"/>
      <c r="S20" s="24"/>
      <c r="T20" s="24"/>
      <c r="U20" s="24"/>
      <c r="V20" s="24"/>
    </row>
    <row r="21" spans="1:146" ht="23.25" customHeight="1" x14ac:dyDescent="0.3">
      <c r="A21" s="18" t="s">
        <v>37</v>
      </c>
      <c r="B21" s="4" t="s">
        <v>86</v>
      </c>
      <c r="C21" s="4">
        <v>10000000</v>
      </c>
      <c r="D21" s="8"/>
      <c r="E21" s="8"/>
      <c r="F21" s="8"/>
      <c r="G21" s="8"/>
      <c r="H21" s="8"/>
      <c r="I21" s="7"/>
      <c r="J21" s="8"/>
      <c r="K21" s="8"/>
      <c r="L21" s="8"/>
      <c r="M21" s="8"/>
      <c r="N21" s="8"/>
      <c r="O21" s="8"/>
      <c r="P21" s="8"/>
      <c r="Q21" s="8"/>
      <c r="R21" s="8"/>
      <c r="S21" s="8"/>
      <c r="T21" s="8"/>
      <c r="U21" s="8"/>
      <c r="V21" s="8"/>
    </row>
    <row r="22" spans="1:146" ht="14.4" x14ac:dyDescent="0.3">
      <c r="A22" s="18" t="s">
        <v>59</v>
      </c>
      <c r="B22" s="4" t="s">
        <v>92</v>
      </c>
      <c r="C22" s="4">
        <v>5000000</v>
      </c>
      <c r="D22" s="4"/>
      <c r="E22" s="4"/>
      <c r="F22" s="4"/>
      <c r="G22" s="4"/>
      <c r="H22" s="4"/>
      <c r="I22" s="4"/>
      <c r="J22" s="4"/>
      <c r="K22" s="4"/>
      <c r="L22" s="4"/>
      <c r="M22" s="4"/>
      <c r="N22" s="4"/>
      <c r="O22" s="4"/>
      <c r="P22" s="4"/>
      <c r="Q22" s="4"/>
      <c r="R22" s="4"/>
      <c r="S22" s="4"/>
      <c r="T22" s="4"/>
      <c r="U22" s="4"/>
      <c r="V22" s="4"/>
    </row>
    <row r="23" spans="1:146" ht="14.4" x14ac:dyDescent="0.3">
      <c r="A23" s="18" t="s">
        <v>39</v>
      </c>
      <c r="B23" s="4" t="s">
        <v>92</v>
      </c>
      <c r="C23" s="4">
        <v>8000000</v>
      </c>
      <c r="D23" s="6"/>
      <c r="E23" s="6"/>
      <c r="F23" s="6"/>
      <c r="G23" s="6"/>
      <c r="H23" s="6"/>
      <c r="I23" s="6"/>
      <c r="J23" s="6"/>
      <c r="K23" s="6"/>
      <c r="L23" s="6"/>
      <c r="M23" s="6"/>
      <c r="N23" s="6"/>
      <c r="O23" s="6"/>
      <c r="P23" s="6"/>
      <c r="Q23" s="6"/>
      <c r="R23" s="6"/>
      <c r="S23" s="6"/>
      <c r="T23" s="6"/>
      <c r="U23" s="6"/>
      <c r="V23" s="6"/>
    </row>
    <row r="24" spans="1:146" ht="14.4" x14ac:dyDescent="0.3">
      <c r="A24" s="18" t="s">
        <v>74</v>
      </c>
      <c r="B24" s="4" t="s">
        <v>85</v>
      </c>
      <c r="C24" s="4">
        <v>1022343</v>
      </c>
      <c r="D24" s="6"/>
      <c r="E24" s="6"/>
      <c r="F24" s="6"/>
      <c r="G24" s="6"/>
      <c r="H24" s="6"/>
      <c r="I24" s="6"/>
      <c r="J24" s="6"/>
      <c r="K24" s="6"/>
      <c r="L24" s="6"/>
      <c r="M24" s="6"/>
      <c r="N24" s="6"/>
      <c r="O24" s="6"/>
      <c r="P24" s="6"/>
      <c r="Q24" s="6"/>
      <c r="R24" s="6"/>
      <c r="S24" s="6"/>
      <c r="T24" s="6"/>
      <c r="U24" s="6"/>
      <c r="V24" s="6"/>
    </row>
    <row r="25" spans="1:146" ht="14.4" x14ac:dyDescent="0.3">
      <c r="A25" s="18" t="s">
        <v>41</v>
      </c>
      <c r="B25" s="4" t="s">
        <v>93</v>
      </c>
      <c r="C25" s="4">
        <v>6000000</v>
      </c>
      <c r="D25" s="6"/>
      <c r="E25" s="6"/>
      <c r="F25" s="6"/>
      <c r="G25" s="6"/>
      <c r="H25" s="6"/>
      <c r="I25" s="6"/>
      <c r="J25" s="6"/>
      <c r="K25" s="6"/>
      <c r="L25" s="6"/>
      <c r="M25" s="6"/>
      <c r="N25" s="6"/>
      <c r="O25" s="6"/>
      <c r="P25" s="6"/>
      <c r="Q25" s="6"/>
      <c r="R25" s="6"/>
      <c r="S25" s="6"/>
      <c r="T25" s="6"/>
      <c r="U25" s="6"/>
      <c r="V25" s="6"/>
    </row>
    <row r="26" spans="1:146" ht="14.4" x14ac:dyDescent="0.3">
      <c r="A26" s="18" t="s">
        <v>94</v>
      </c>
      <c r="B26" s="4" t="s">
        <v>89</v>
      </c>
      <c r="C26" s="4">
        <v>4000000</v>
      </c>
      <c r="D26" s="6"/>
      <c r="E26" s="6"/>
      <c r="F26" s="6"/>
      <c r="G26" s="6"/>
      <c r="H26" s="6"/>
      <c r="I26" s="6"/>
      <c r="J26" s="6"/>
      <c r="K26" s="6"/>
      <c r="L26" s="6"/>
      <c r="M26" s="6"/>
      <c r="N26" s="6"/>
      <c r="O26" s="6"/>
      <c r="P26" s="6"/>
      <c r="Q26" s="6"/>
      <c r="R26" s="6"/>
      <c r="S26" s="6"/>
      <c r="T26" s="6"/>
      <c r="U26" s="6"/>
      <c r="V26" s="6"/>
    </row>
    <row r="27" spans="1:146" ht="14.4" x14ac:dyDescent="0.3">
      <c r="A27" s="18" t="s">
        <v>43</v>
      </c>
      <c r="B27" s="4" t="s">
        <v>86</v>
      </c>
      <c r="C27" s="4">
        <v>3000000</v>
      </c>
      <c r="D27" s="3"/>
      <c r="E27" s="3"/>
      <c r="F27" s="3"/>
      <c r="G27" s="3"/>
      <c r="H27" s="3"/>
      <c r="I27" s="3"/>
      <c r="J27" s="3"/>
      <c r="K27" s="3"/>
      <c r="L27" s="3"/>
      <c r="M27" s="3"/>
      <c r="N27" s="3"/>
      <c r="O27" s="3"/>
      <c r="P27" s="3"/>
      <c r="Q27" s="3"/>
      <c r="R27" s="3"/>
      <c r="S27" s="3"/>
      <c r="T27" s="3"/>
      <c r="U27" s="3"/>
      <c r="V27" s="3"/>
    </row>
    <row r="28" spans="1:146" s="12" customFormat="1" ht="15.75" customHeight="1" x14ac:dyDescent="0.3">
      <c r="A28" s="14" t="s">
        <v>44</v>
      </c>
      <c r="C28" s="30">
        <f>SUM(C15:C27)</f>
        <v>75032407.319999993</v>
      </c>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row>
    <row r="29" spans="1:146" ht="14.4" x14ac:dyDescent="0.3">
      <c r="A29" s="18" t="s">
        <v>95</v>
      </c>
      <c r="B29" s="6"/>
      <c r="C29" s="6"/>
      <c r="D29" s="6"/>
      <c r="E29" s="6"/>
      <c r="F29" s="6"/>
      <c r="G29" s="6"/>
      <c r="H29" s="6"/>
      <c r="I29" s="6"/>
      <c r="J29" s="6"/>
      <c r="K29" s="6"/>
      <c r="L29" s="6"/>
      <c r="M29" s="6"/>
      <c r="N29" s="6"/>
      <c r="O29" s="6"/>
      <c r="P29" s="6"/>
      <c r="Q29" s="6"/>
      <c r="R29" s="6"/>
      <c r="S29" s="6"/>
      <c r="T29" s="6"/>
      <c r="U29" s="6"/>
      <c r="V29" s="6"/>
    </row>
    <row r="30" spans="1:146" ht="14.4" x14ac:dyDescent="0.3">
      <c r="A30" s="18" t="s">
        <v>96</v>
      </c>
      <c r="B30" s="4"/>
      <c r="C30" s="4"/>
      <c r="D30" s="4"/>
      <c r="E30" s="4"/>
      <c r="F30" s="4"/>
      <c r="G30" s="4"/>
      <c r="H30" s="4"/>
      <c r="I30" s="4"/>
      <c r="J30" s="4"/>
      <c r="K30" s="4"/>
      <c r="L30" s="4"/>
      <c r="M30" s="4"/>
      <c r="N30" s="4"/>
      <c r="O30" s="4"/>
      <c r="P30" s="4"/>
      <c r="Q30" s="4"/>
      <c r="R30" s="4"/>
      <c r="S30" s="4"/>
      <c r="T30" s="4"/>
      <c r="U30" s="4"/>
      <c r="V30" s="4"/>
    </row>
    <row r="31" spans="1:146" ht="14.4" x14ac:dyDescent="0.3">
      <c r="A31" s="18" t="s">
        <v>97</v>
      </c>
      <c r="B31" s="6"/>
      <c r="C31" s="6"/>
      <c r="D31" s="6"/>
      <c r="E31" s="6"/>
      <c r="F31" s="6"/>
      <c r="G31" s="6"/>
      <c r="H31" s="6"/>
      <c r="I31" s="6"/>
      <c r="J31" s="6"/>
      <c r="K31" s="6"/>
      <c r="L31" s="6"/>
      <c r="M31" s="6"/>
      <c r="N31" s="6"/>
      <c r="O31" s="6"/>
      <c r="P31" s="6"/>
      <c r="Q31" s="6"/>
      <c r="R31" s="6"/>
      <c r="S31" s="6"/>
      <c r="T31" s="6"/>
      <c r="U31" s="6"/>
      <c r="V31" s="6"/>
    </row>
    <row r="32" spans="1:146" ht="14.4" x14ac:dyDescent="0.3">
      <c r="A32" s="18" t="s">
        <v>98</v>
      </c>
      <c r="B32" s="6"/>
      <c r="C32" s="6"/>
      <c r="D32" s="6"/>
      <c r="E32" s="6"/>
      <c r="F32" s="6"/>
      <c r="G32" s="6"/>
      <c r="H32" s="6"/>
      <c r="I32" s="6"/>
      <c r="J32" s="6"/>
      <c r="K32" s="6"/>
      <c r="L32" s="6"/>
      <c r="M32" s="6"/>
      <c r="N32" s="6"/>
      <c r="O32" s="6"/>
      <c r="P32" s="6"/>
      <c r="Q32" s="6"/>
      <c r="R32" s="6"/>
      <c r="S32" s="6"/>
      <c r="T32" s="6"/>
      <c r="U32" s="6"/>
      <c r="V32" s="6"/>
    </row>
    <row r="33" spans="1:146" s="12" customFormat="1" ht="15.75" customHeight="1" x14ac:dyDescent="0.3">
      <c r="A33" s="14" t="s">
        <v>50</v>
      </c>
      <c r="C33" s="30">
        <f>SUM(C29:C32)</f>
        <v>0</v>
      </c>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row>
    <row r="34" spans="1:146" ht="14.4" x14ac:dyDescent="0.3">
      <c r="A34" s="19" t="s">
        <v>99</v>
      </c>
      <c r="B34" s="4"/>
      <c r="C34" s="4"/>
      <c r="D34" s="4"/>
      <c r="E34" s="4"/>
      <c r="F34" s="4"/>
      <c r="G34" s="4"/>
      <c r="H34" s="4"/>
      <c r="I34" s="4"/>
      <c r="J34" s="4"/>
      <c r="K34" s="4"/>
      <c r="L34" s="4"/>
      <c r="M34" s="4"/>
      <c r="N34" s="4"/>
      <c r="O34" s="4"/>
      <c r="P34" s="4"/>
      <c r="Q34" s="4"/>
      <c r="R34" s="4"/>
      <c r="S34" s="4"/>
      <c r="T34" s="4"/>
      <c r="U34" s="4"/>
      <c r="V34" s="4"/>
    </row>
    <row r="35" spans="1:146" s="12" customFormat="1" ht="15.75" customHeight="1" x14ac:dyDescent="0.3">
      <c r="A35" s="14" t="s">
        <v>52</v>
      </c>
      <c r="C35" s="30">
        <f>SUM(C28,C33)</f>
        <v>75032407.319999993</v>
      </c>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row>
    <row r="36" spans="1:146" ht="14.4" x14ac:dyDescent="0.3">
      <c r="A36" s="20"/>
    </row>
    <row r="37" spans="1:146" ht="14.4" x14ac:dyDescent="0.3">
      <c r="A37" s="18" t="s">
        <v>30</v>
      </c>
      <c r="B37" s="6"/>
      <c r="C37" s="6"/>
      <c r="D37" s="6"/>
      <c r="E37" s="6"/>
      <c r="F37" s="6"/>
      <c r="G37" s="6"/>
      <c r="H37" s="6"/>
      <c r="I37" s="6"/>
      <c r="J37" s="6"/>
      <c r="K37" s="6"/>
      <c r="L37" s="6"/>
      <c r="M37" s="6"/>
      <c r="N37" s="6"/>
      <c r="O37" s="6"/>
      <c r="P37" s="6"/>
      <c r="Q37" s="6"/>
      <c r="R37" s="6"/>
      <c r="S37" s="6"/>
      <c r="T37" s="6"/>
      <c r="U37" s="6"/>
      <c r="V37" s="6"/>
    </row>
    <row r="38" spans="1:146" ht="14.4" x14ac:dyDescent="0.3">
      <c r="A38" s="18" t="s">
        <v>52</v>
      </c>
      <c r="B38" s="6"/>
      <c r="C38" s="6"/>
      <c r="D38" s="6"/>
      <c r="E38" s="6"/>
      <c r="F38" s="6"/>
      <c r="G38" s="6"/>
      <c r="H38" s="6"/>
      <c r="I38" s="6"/>
      <c r="J38" s="6"/>
      <c r="K38" s="6"/>
      <c r="L38" s="6"/>
      <c r="M38" s="6"/>
      <c r="N38" s="6"/>
      <c r="O38" s="6"/>
      <c r="P38" s="6"/>
      <c r="Q38" s="6"/>
      <c r="R38" s="6"/>
      <c r="S38" s="6"/>
      <c r="T38" s="6"/>
      <c r="U38" s="6"/>
      <c r="V38" s="6"/>
    </row>
    <row r="39" spans="1:146" ht="14.4" x14ac:dyDescent="0.3">
      <c r="A39" s="18" t="s">
        <v>83</v>
      </c>
      <c r="B39" s="4"/>
      <c r="C39" s="4"/>
      <c r="D39" s="4"/>
      <c r="E39" s="4"/>
      <c r="F39" s="4"/>
      <c r="G39" s="4"/>
      <c r="H39" s="4"/>
      <c r="I39" s="4"/>
      <c r="J39" s="4"/>
      <c r="K39" s="4"/>
      <c r="L39" s="4"/>
      <c r="M39" s="4"/>
      <c r="N39" s="4"/>
      <c r="O39" s="4"/>
      <c r="P39" s="4"/>
      <c r="Q39" s="4"/>
      <c r="R39" s="4"/>
      <c r="S39" s="4"/>
      <c r="T39" s="4"/>
      <c r="U39" s="4"/>
      <c r="V39" s="4"/>
    </row>
    <row r="40" spans="1:146" ht="14.4" x14ac:dyDescent="0.3">
      <c r="A40" s="18" t="s">
        <v>54</v>
      </c>
      <c r="B40" s="9"/>
      <c r="C40" s="9"/>
      <c r="D40" s="9"/>
      <c r="E40" s="9"/>
      <c r="F40" s="9"/>
      <c r="G40" s="9"/>
      <c r="H40" s="9"/>
      <c r="I40" s="9"/>
      <c r="J40" s="9"/>
      <c r="K40" s="9"/>
      <c r="L40" s="9"/>
      <c r="M40" s="9"/>
      <c r="N40" s="9"/>
      <c r="O40" s="9"/>
      <c r="P40" s="9"/>
      <c r="Q40" s="9"/>
      <c r="R40" s="9"/>
      <c r="S40" s="9"/>
      <c r="T40" s="9"/>
      <c r="U40" s="9"/>
      <c r="V40" s="9"/>
    </row>
    <row r="41" spans="1:146" ht="25.95" customHeight="1" x14ac:dyDescent="0.3">
      <c r="A41" s="18" t="s">
        <v>55</v>
      </c>
      <c r="B41" s="9"/>
      <c r="C41" s="9"/>
      <c r="D41" s="9"/>
      <c r="E41" s="9"/>
      <c r="F41" s="9"/>
      <c r="G41" s="9"/>
      <c r="H41" s="9"/>
      <c r="I41" s="9"/>
      <c r="J41" s="9"/>
      <c r="K41" s="9"/>
      <c r="L41" s="9"/>
      <c r="M41" s="9"/>
      <c r="N41" s="9"/>
      <c r="O41" s="9"/>
      <c r="P41" s="9"/>
      <c r="Q41" s="9"/>
      <c r="R41" s="9"/>
      <c r="S41" s="9"/>
      <c r="T41" s="9"/>
      <c r="U41" s="9"/>
      <c r="V41" s="9"/>
    </row>
    <row r="43" spans="1:146" ht="14.4" x14ac:dyDescent="0.3">
      <c r="A43" s="18" t="s">
        <v>56</v>
      </c>
      <c r="B43" s="10"/>
      <c r="C43" s="10"/>
      <c r="D43" s="10"/>
      <c r="E43" s="10"/>
      <c r="F43" s="10"/>
      <c r="G43" s="10"/>
      <c r="H43" s="10"/>
      <c r="I43" s="10"/>
      <c r="J43" s="10"/>
      <c r="K43" s="10"/>
      <c r="L43" s="10"/>
      <c r="M43" s="10"/>
      <c r="N43" s="10"/>
      <c r="O43" s="10"/>
      <c r="P43" s="10"/>
      <c r="Q43" s="10"/>
      <c r="R43" s="10"/>
      <c r="S43" s="10"/>
      <c r="T43" s="10"/>
      <c r="U43" s="10"/>
      <c r="V43" s="10"/>
    </row>
    <row r="46" spans="1:146" ht="15" customHeight="1" x14ac:dyDescent="0.3">
      <c r="D46" s="19" t="s">
        <v>100</v>
      </c>
    </row>
    <row r="47" spans="1:146" ht="15" customHeight="1" x14ac:dyDescent="0.3">
      <c r="D47" s="27" t="s">
        <v>101</v>
      </c>
    </row>
    <row r="48" spans="1:146" ht="15" customHeight="1" x14ac:dyDescent="0.3">
      <c r="D48" s="27" t="s">
        <v>102</v>
      </c>
    </row>
    <row r="49" spans="4:4" ht="15" customHeight="1" x14ac:dyDescent="0.3">
      <c r="D49" s="27" t="s">
        <v>103</v>
      </c>
    </row>
    <row r="50" spans="4:4" ht="15" customHeight="1" x14ac:dyDescent="0.3">
      <c r="D50" s="27" t="s">
        <v>103</v>
      </c>
    </row>
  </sheetData>
  <hyperlinks>
    <hyperlink ref="D47" r:id="rId1" xr:uid="{F00C2C08-2B62-4C54-960B-D8162909A056}"/>
    <hyperlink ref="D48" r:id="rId2" xr:uid="{50A4F660-5934-46F9-BE89-2D6CA6CABA80}"/>
    <hyperlink ref="D49" r:id="rId3" xr:uid="{4918A87A-9C5F-44C7-AF46-FE5FB3A2ABC0}"/>
    <hyperlink ref="D50" r:id="rId4" xr:uid="{3371801D-F329-4C7D-8E3D-A18C9BCD8062}"/>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Feasibility </vt:lpstr>
      <vt:lpstr>Hoja1</vt:lpstr>
      <vt:lpstr>Sheet1</vt:lpstr>
      <vt:lpstr>Feasibility Study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 Karukayil Chandapilla</dc:creator>
  <cp:keywords/>
  <dc:description/>
  <cp:lastModifiedBy>Anu Karukayil Chandapilla</cp:lastModifiedBy>
  <cp:revision/>
  <dcterms:created xsi:type="dcterms:W3CDTF">2025-02-06T01:59:12Z</dcterms:created>
  <dcterms:modified xsi:type="dcterms:W3CDTF">2025-05-02T03:31:06Z</dcterms:modified>
  <cp:category/>
  <cp:contentStatus/>
</cp:coreProperties>
</file>